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IsaacOgbaji\Downloads\"/>
    </mc:Choice>
  </mc:AlternateContent>
  <xr:revisionPtr revIDLastSave="0" documentId="8_{A5EB1BB8-CEF8-4010-A0A1-477E88D1857C}" xr6:coauthVersionLast="47" xr6:coauthVersionMax="47" xr10:uidLastSave="{00000000-0000-0000-0000-000000000000}"/>
  <bookViews>
    <workbookView xWindow="10275" yWindow="0" windowWidth="18630" windowHeight="15585" xr2:uid="{00000000-000D-0000-FFFF-FFFF00000000}"/>
  </bookViews>
  <sheets>
    <sheet name="ASSIGNMENT 1" sheetId="3" r:id="rId1"/>
    <sheet name="ASSIGNMENT 2" sheetId="4" r:id="rId2"/>
  </sheets>
  <definedNames>
    <definedName name="_xlnm.Print_Area" localSheetId="1">'ASSIGNMENT 2'!$I$84</definedName>
    <definedName name="TaxesOwe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B23" i="3" l="1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20" i="3" s="1"/>
  <c r="G17" i="3"/>
  <c r="G18" i="3"/>
  <c r="G19" i="3"/>
  <c r="G20" i="3"/>
  <c r="G2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H21" i="3" l="1"/>
  <c r="H19" i="3"/>
  <c r="H17" i="3"/>
  <c r="H16" i="3"/>
  <c r="H18" i="3"/>
  <c r="B26" i="3"/>
  <c r="B24" i="3"/>
  <c r="H2" i="3"/>
  <c r="B25" i="3"/>
</calcChain>
</file>

<file path=xl/sharedStrings.xml><?xml version="1.0" encoding="utf-8"?>
<sst xmlns="http://schemas.openxmlformats.org/spreadsheetml/2006/main" count="116" uniqueCount="115">
  <si>
    <t>Name</t>
  </si>
  <si>
    <t>Samuel</t>
  </si>
  <si>
    <t>Student ID</t>
  </si>
  <si>
    <t>Math Score</t>
  </si>
  <si>
    <t>English Score</t>
  </si>
  <si>
    <t>Science Score</t>
  </si>
  <si>
    <t>Total Score</t>
  </si>
  <si>
    <t>Average Score</t>
  </si>
  <si>
    <t>Adaora</t>
  </si>
  <si>
    <t>Ibrahim</t>
  </si>
  <si>
    <t>Chiamaka</t>
  </si>
  <si>
    <t>Tunde</t>
  </si>
  <si>
    <t>Grace</t>
  </si>
  <si>
    <t>Daniel</t>
  </si>
  <si>
    <t>Victoria</t>
  </si>
  <si>
    <t>Joseph</t>
  </si>
  <si>
    <t>Fatima</t>
  </si>
  <si>
    <t>Peter</t>
  </si>
  <si>
    <t>Amina</t>
  </si>
  <si>
    <t>Kelvin</t>
  </si>
  <si>
    <t>Blessing</t>
  </si>
  <si>
    <t>Collins</t>
  </si>
  <si>
    <t>Jennifer</t>
  </si>
  <si>
    <t>Promise</t>
  </si>
  <si>
    <t>Emmanuel</t>
  </si>
  <si>
    <t>Cynthia</t>
  </si>
  <si>
    <t>Micheal</t>
  </si>
  <si>
    <t>Total student</t>
  </si>
  <si>
    <t>class Average</t>
  </si>
  <si>
    <t>Highest total score</t>
  </si>
  <si>
    <t>Lowest total score</t>
  </si>
  <si>
    <t>Rank</t>
  </si>
  <si>
    <t>Employee ID</t>
  </si>
  <si>
    <t>Hourly Wage</t>
  </si>
  <si>
    <t>Hours Worked</t>
  </si>
  <si>
    <t>Taxable Income</t>
  </si>
  <si>
    <t>Taxes to Be Paid</t>
  </si>
  <si>
    <t>Tax Rate:</t>
  </si>
  <si>
    <t>Hello</t>
  </si>
  <si>
    <t>Totals:</t>
  </si>
  <si>
    <t>Average:</t>
  </si>
  <si>
    <t>Highest:</t>
  </si>
  <si>
    <t>Lowest:</t>
  </si>
  <si>
    <t>Number of Employees:</t>
  </si>
  <si>
    <t>Aisha</t>
  </si>
  <si>
    <t>Damian</t>
  </si>
  <si>
    <t>Selena</t>
  </si>
  <si>
    <t>Marcus</t>
  </si>
  <si>
    <t>Lilian</t>
  </si>
  <si>
    <t>Travis</t>
  </si>
  <si>
    <t>Harmony</t>
  </si>
  <si>
    <t>Owen</t>
  </si>
  <si>
    <t>Khadija</t>
  </si>
  <si>
    <t>Reuben</t>
  </si>
  <si>
    <t>Faith</t>
  </si>
  <si>
    <t>Desmond</t>
  </si>
  <si>
    <t>Vivian</t>
  </si>
  <si>
    <t>Harold</t>
  </si>
  <si>
    <t>Bryson</t>
  </si>
  <si>
    <t>Melody</t>
  </si>
  <si>
    <t>Winston</t>
  </si>
  <si>
    <t>Naomi</t>
  </si>
  <si>
    <t>Cedric</t>
  </si>
  <si>
    <t>Kendra</t>
  </si>
  <si>
    <t>Braylen</t>
  </si>
  <si>
    <t>Stella</t>
  </si>
  <si>
    <t>Edwin</t>
  </si>
  <si>
    <t>Zaria</t>
  </si>
  <si>
    <t>Callum</t>
  </si>
  <si>
    <t>Yasmin</t>
  </si>
  <si>
    <t>Corbin</t>
  </si>
  <si>
    <t>Helena</t>
  </si>
  <si>
    <t>Marlon</t>
  </si>
  <si>
    <t>Talia</t>
  </si>
  <si>
    <t>Rex</t>
  </si>
  <si>
    <t>Miracle</t>
  </si>
  <si>
    <t>Franklin</t>
  </si>
  <si>
    <t>Ophelia</t>
  </si>
  <si>
    <t>Dakota</t>
  </si>
  <si>
    <t>Benson</t>
  </si>
  <si>
    <t>Clarissa</t>
  </si>
  <si>
    <t>Roland</t>
  </si>
  <si>
    <t>Ivy</t>
  </si>
  <si>
    <t>Terrence</t>
  </si>
  <si>
    <t>Nora</t>
  </si>
  <si>
    <t>Quentin</t>
  </si>
  <si>
    <t>Patience</t>
  </si>
  <si>
    <t>Irvin</t>
  </si>
  <si>
    <t>Sahara</t>
  </si>
  <si>
    <t>Eldon</t>
  </si>
  <si>
    <t>Cassidy</t>
  </si>
  <si>
    <t>Marvin</t>
  </si>
  <si>
    <t>Hannah</t>
  </si>
  <si>
    <t>Darian</t>
  </si>
  <si>
    <t>Bridget</t>
  </si>
  <si>
    <t>Silas</t>
  </si>
  <si>
    <t>Hadassah</t>
  </si>
  <si>
    <t>Kellan</t>
  </si>
  <si>
    <t>Norah</t>
  </si>
  <si>
    <t>Ramon</t>
  </si>
  <si>
    <t>Liora</t>
  </si>
  <si>
    <t>Dennis</t>
  </si>
  <si>
    <t>Amir</t>
  </si>
  <si>
    <t>Selah</t>
  </si>
  <si>
    <t>Jericho</t>
  </si>
  <si>
    <t>Autumn</t>
  </si>
  <si>
    <t>Kason</t>
  </si>
  <si>
    <t>Lorelei</t>
  </si>
  <si>
    <t>Ryder</t>
  </si>
  <si>
    <t>Halima</t>
  </si>
  <si>
    <t>Cooper</t>
  </si>
  <si>
    <t>Zainab</t>
  </si>
  <si>
    <t>Preston</t>
  </si>
  <si>
    <t>Amara</t>
  </si>
  <si>
    <t>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</si>
</sst>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₦-466]\ * #,##0.00_-;\-[$₦-466]\ * #,##0.00_-;_-[$₦-466]\ * &quot;-&quot;??_-;_-@_-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0" fontId="2" fillId="0" borderId="2" xfId="0" applyFont="1" applyBorder="1"/>
    <xf numFmtId="0" fontId="3" fillId="0" borderId="3" xfId="0" applyFont="1" applyBorder="1" applyAlignment="1">
      <alignment vertical="center" wrapText="1"/>
    </xf>
    <xf numFmtId="0" fontId="0" fillId="0" borderId="3" xfId="0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/>
    <xf numFmtId="0" fontId="6" fillId="3" borderId="4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0" borderId="5" xfId="0" applyFont="1" applyBorder="1" applyAlignment="1">
      <alignment horizontal="right" wrapText="1"/>
    </xf>
    <xf numFmtId="0" fontId="6" fillId="0" borderId="6" xfId="0" applyFont="1" applyBorder="1" applyAlignment="1">
      <alignment wrapText="1"/>
    </xf>
    <xf numFmtId="168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Result statistics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'ASSIGNMENT 1'!$C$1</c:f>
              <c:strCache>
                <c:ptCount val="1"/>
                <c:pt idx="0">
                  <c:v>Math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'ASSIGNMENT 1'!$A$2:$B$21</c:f>
              <c:multiLvlStrCache>
                <c:ptCount val="20"/>
                <c:lvl>
                  <c:pt idx="0">
                    <c:v>Adaora</c:v>
                  </c:pt>
                  <c:pt idx="1">
                    <c:v>Ibrahim</c:v>
                  </c:pt>
                  <c:pt idx="2">
                    <c:v>Samuel</c:v>
                  </c:pt>
                  <c:pt idx="3">
                    <c:v>Chiamaka</c:v>
                  </c:pt>
                  <c:pt idx="4">
                    <c:v>Tunde</c:v>
                  </c:pt>
                  <c:pt idx="5">
                    <c:v>Grace</c:v>
                  </c:pt>
                  <c:pt idx="6">
                    <c:v>Daniel</c:v>
                  </c:pt>
                  <c:pt idx="7">
                    <c:v>Victoria</c:v>
                  </c:pt>
                  <c:pt idx="8">
                    <c:v>Joseph</c:v>
                  </c:pt>
                  <c:pt idx="9">
                    <c:v>Fatima</c:v>
                  </c:pt>
                  <c:pt idx="10">
                    <c:v>Peter</c:v>
                  </c:pt>
                  <c:pt idx="11">
                    <c:v>Amina</c:v>
                  </c:pt>
                  <c:pt idx="12">
                    <c:v>Kelvin</c:v>
                  </c:pt>
                  <c:pt idx="13">
                    <c:v>Blessing</c:v>
                  </c:pt>
                  <c:pt idx="14">
                    <c:v>Collins</c:v>
                  </c:pt>
                  <c:pt idx="15">
                    <c:v>Jennifer</c:v>
                  </c:pt>
                  <c:pt idx="16">
                    <c:v>Promise</c:v>
                  </c:pt>
                  <c:pt idx="17">
                    <c:v>Emmanuel</c:v>
                  </c:pt>
                  <c:pt idx="18">
                    <c:v>Cynthia</c:v>
                  </c:pt>
                  <c:pt idx="19">
                    <c:v>Micheal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'ASSIGNMENT 1'!$C$2:$C$21</c:f>
              <c:numCache>
                <c:formatCode>General</c:formatCode>
                <c:ptCount val="20"/>
                <c:pt idx="0">
                  <c:v>78</c:v>
                </c:pt>
                <c:pt idx="1">
                  <c:v>90</c:v>
                </c:pt>
                <c:pt idx="2">
                  <c:v>65</c:v>
                </c:pt>
                <c:pt idx="3">
                  <c:v>88</c:v>
                </c:pt>
                <c:pt idx="4">
                  <c:v>55</c:v>
                </c:pt>
                <c:pt idx="5">
                  <c:v>72</c:v>
                </c:pt>
                <c:pt idx="6">
                  <c:v>81</c:v>
                </c:pt>
                <c:pt idx="7">
                  <c:v>95</c:v>
                </c:pt>
                <c:pt idx="8">
                  <c:v>62</c:v>
                </c:pt>
                <c:pt idx="9">
                  <c:v>84</c:v>
                </c:pt>
                <c:pt idx="10">
                  <c:v>77</c:v>
                </c:pt>
                <c:pt idx="11">
                  <c:v>91</c:v>
                </c:pt>
                <c:pt idx="12">
                  <c:v>68</c:v>
                </c:pt>
                <c:pt idx="13">
                  <c:v>82</c:v>
                </c:pt>
                <c:pt idx="14">
                  <c:v>59</c:v>
                </c:pt>
                <c:pt idx="15">
                  <c:v>93</c:v>
                </c:pt>
                <c:pt idx="16">
                  <c:v>74</c:v>
                </c:pt>
                <c:pt idx="17">
                  <c:v>87</c:v>
                </c:pt>
                <c:pt idx="18">
                  <c:v>66</c:v>
                </c:pt>
                <c:pt idx="1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C-4AD7-8A4D-F5635227F00E}"/>
            </c:ext>
          </c:extLst>
        </c:ser>
        <c:ser>
          <c:idx val="1"/>
          <c:order val="1"/>
          <c:tx>
            <c:strRef>
              <c:f>'ASSIGNMENT 1'!$D$1</c:f>
              <c:strCache>
                <c:ptCount val="1"/>
                <c:pt idx="0">
                  <c:v>English Score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'ASSIGNMENT 1'!$A$2:$B$21</c:f>
              <c:multiLvlStrCache>
                <c:ptCount val="20"/>
                <c:lvl>
                  <c:pt idx="0">
                    <c:v>Adaora</c:v>
                  </c:pt>
                  <c:pt idx="1">
                    <c:v>Ibrahim</c:v>
                  </c:pt>
                  <c:pt idx="2">
                    <c:v>Samuel</c:v>
                  </c:pt>
                  <c:pt idx="3">
                    <c:v>Chiamaka</c:v>
                  </c:pt>
                  <c:pt idx="4">
                    <c:v>Tunde</c:v>
                  </c:pt>
                  <c:pt idx="5">
                    <c:v>Grace</c:v>
                  </c:pt>
                  <c:pt idx="6">
                    <c:v>Daniel</c:v>
                  </c:pt>
                  <c:pt idx="7">
                    <c:v>Victoria</c:v>
                  </c:pt>
                  <c:pt idx="8">
                    <c:v>Joseph</c:v>
                  </c:pt>
                  <c:pt idx="9">
                    <c:v>Fatima</c:v>
                  </c:pt>
                  <c:pt idx="10">
                    <c:v>Peter</c:v>
                  </c:pt>
                  <c:pt idx="11">
                    <c:v>Amina</c:v>
                  </c:pt>
                  <c:pt idx="12">
                    <c:v>Kelvin</c:v>
                  </c:pt>
                  <c:pt idx="13">
                    <c:v>Blessing</c:v>
                  </c:pt>
                  <c:pt idx="14">
                    <c:v>Collins</c:v>
                  </c:pt>
                  <c:pt idx="15">
                    <c:v>Jennifer</c:v>
                  </c:pt>
                  <c:pt idx="16">
                    <c:v>Promise</c:v>
                  </c:pt>
                  <c:pt idx="17">
                    <c:v>Emmanuel</c:v>
                  </c:pt>
                  <c:pt idx="18">
                    <c:v>Cynthia</c:v>
                  </c:pt>
                  <c:pt idx="19">
                    <c:v>Micheal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'ASSIGNMENT 1'!$D$2:$D$21</c:f>
              <c:numCache>
                <c:formatCode>General</c:formatCode>
                <c:ptCount val="20"/>
                <c:pt idx="0">
                  <c:v>85</c:v>
                </c:pt>
                <c:pt idx="1">
                  <c:v>88</c:v>
                </c:pt>
                <c:pt idx="2">
                  <c:v>70</c:v>
                </c:pt>
                <c:pt idx="3">
                  <c:v>94</c:v>
                </c:pt>
                <c:pt idx="4">
                  <c:v>60</c:v>
                </c:pt>
                <c:pt idx="5">
                  <c:v>80</c:v>
                </c:pt>
                <c:pt idx="6">
                  <c:v>79</c:v>
                </c:pt>
                <c:pt idx="7">
                  <c:v>93</c:v>
                </c:pt>
                <c:pt idx="8">
                  <c:v>68</c:v>
                </c:pt>
                <c:pt idx="9">
                  <c:v>87</c:v>
                </c:pt>
                <c:pt idx="10">
                  <c:v>73</c:v>
                </c:pt>
                <c:pt idx="11">
                  <c:v>89</c:v>
                </c:pt>
                <c:pt idx="12">
                  <c:v>64</c:v>
                </c:pt>
                <c:pt idx="13">
                  <c:v>78</c:v>
                </c:pt>
                <c:pt idx="14">
                  <c:v>62</c:v>
                </c:pt>
                <c:pt idx="15">
                  <c:v>95</c:v>
                </c:pt>
                <c:pt idx="16">
                  <c:v>72</c:v>
                </c:pt>
                <c:pt idx="17">
                  <c:v>90</c:v>
                </c:pt>
                <c:pt idx="18">
                  <c:v>71</c:v>
                </c:pt>
                <c:pt idx="1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9C-4AD7-8A4D-F5635227F00E}"/>
            </c:ext>
          </c:extLst>
        </c:ser>
        <c:ser>
          <c:idx val="2"/>
          <c:order val="2"/>
          <c:tx>
            <c:strRef>
              <c:f>'ASSIGNMENT 1'!$E$1</c:f>
              <c:strCache>
                <c:ptCount val="1"/>
                <c:pt idx="0">
                  <c:v>Science Score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'ASSIGNMENT 1'!$A$2:$B$21</c:f>
              <c:multiLvlStrCache>
                <c:ptCount val="20"/>
                <c:lvl>
                  <c:pt idx="0">
                    <c:v>Adaora</c:v>
                  </c:pt>
                  <c:pt idx="1">
                    <c:v>Ibrahim</c:v>
                  </c:pt>
                  <c:pt idx="2">
                    <c:v>Samuel</c:v>
                  </c:pt>
                  <c:pt idx="3">
                    <c:v>Chiamaka</c:v>
                  </c:pt>
                  <c:pt idx="4">
                    <c:v>Tunde</c:v>
                  </c:pt>
                  <c:pt idx="5">
                    <c:v>Grace</c:v>
                  </c:pt>
                  <c:pt idx="6">
                    <c:v>Daniel</c:v>
                  </c:pt>
                  <c:pt idx="7">
                    <c:v>Victoria</c:v>
                  </c:pt>
                  <c:pt idx="8">
                    <c:v>Joseph</c:v>
                  </c:pt>
                  <c:pt idx="9">
                    <c:v>Fatima</c:v>
                  </c:pt>
                  <c:pt idx="10">
                    <c:v>Peter</c:v>
                  </c:pt>
                  <c:pt idx="11">
                    <c:v>Amina</c:v>
                  </c:pt>
                  <c:pt idx="12">
                    <c:v>Kelvin</c:v>
                  </c:pt>
                  <c:pt idx="13">
                    <c:v>Blessing</c:v>
                  </c:pt>
                  <c:pt idx="14">
                    <c:v>Collins</c:v>
                  </c:pt>
                  <c:pt idx="15">
                    <c:v>Jennifer</c:v>
                  </c:pt>
                  <c:pt idx="16">
                    <c:v>Promise</c:v>
                  </c:pt>
                  <c:pt idx="17">
                    <c:v>Emmanuel</c:v>
                  </c:pt>
                  <c:pt idx="18">
                    <c:v>Cynthia</c:v>
                  </c:pt>
                  <c:pt idx="19">
                    <c:v>Micheal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'ASSIGNMENT 1'!$E$2:$E$21</c:f>
              <c:numCache>
                <c:formatCode>General</c:formatCode>
                <c:ptCount val="20"/>
                <c:pt idx="0">
                  <c:v>74</c:v>
                </c:pt>
                <c:pt idx="1">
                  <c:v>92</c:v>
                </c:pt>
                <c:pt idx="2">
                  <c:v>68</c:v>
                </c:pt>
                <c:pt idx="3">
                  <c:v>90</c:v>
                </c:pt>
                <c:pt idx="4">
                  <c:v>58</c:v>
                </c:pt>
                <c:pt idx="5">
                  <c:v>76</c:v>
                </c:pt>
                <c:pt idx="6">
                  <c:v>83</c:v>
                </c:pt>
                <c:pt idx="7">
                  <c:v>97</c:v>
                </c:pt>
                <c:pt idx="8">
                  <c:v>71</c:v>
                </c:pt>
                <c:pt idx="9">
                  <c:v>82</c:v>
                </c:pt>
                <c:pt idx="10">
                  <c:v>80</c:v>
                </c:pt>
                <c:pt idx="11">
                  <c:v>94</c:v>
                </c:pt>
                <c:pt idx="12">
                  <c:v>70</c:v>
                </c:pt>
                <c:pt idx="13">
                  <c:v>85</c:v>
                </c:pt>
                <c:pt idx="14">
                  <c:v>55</c:v>
                </c:pt>
                <c:pt idx="15">
                  <c:v>90</c:v>
                </c:pt>
                <c:pt idx="16">
                  <c:v>79</c:v>
                </c:pt>
                <c:pt idx="17">
                  <c:v>84</c:v>
                </c:pt>
                <c:pt idx="18">
                  <c:v>69</c:v>
                </c:pt>
                <c:pt idx="19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9C-4AD7-8A4D-F5635227F00E}"/>
            </c:ext>
          </c:extLst>
        </c:ser>
        <c:ser>
          <c:idx val="3"/>
          <c:order val="3"/>
          <c:tx>
            <c:strRef>
              <c:f>'ASSIGNMENT 1'!$F$1</c:f>
              <c:strCache>
                <c:ptCount val="1"/>
                <c:pt idx="0">
                  <c:v>Total Score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'ASSIGNMENT 1'!$A$2:$B$21</c:f>
              <c:multiLvlStrCache>
                <c:ptCount val="20"/>
                <c:lvl>
                  <c:pt idx="0">
                    <c:v>Adaora</c:v>
                  </c:pt>
                  <c:pt idx="1">
                    <c:v>Ibrahim</c:v>
                  </c:pt>
                  <c:pt idx="2">
                    <c:v>Samuel</c:v>
                  </c:pt>
                  <c:pt idx="3">
                    <c:v>Chiamaka</c:v>
                  </c:pt>
                  <c:pt idx="4">
                    <c:v>Tunde</c:v>
                  </c:pt>
                  <c:pt idx="5">
                    <c:v>Grace</c:v>
                  </c:pt>
                  <c:pt idx="6">
                    <c:v>Daniel</c:v>
                  </c:pt>
                  <c:pt idx="7">
                    <c:v>Victoria</c:v>
                  </c:pt>
                  <c:pt idx="8">
                    <c:v>Joseph</c:v>
                  </c:pt>
                  <c:pt idx="9">
                    <c:v>Fatima</c:v>
                  </c:pt>
                  <c:pt idx="10">
                    <c:v>Peter</c:v>
                  </c:pt>
                  <c:pt idx="11">
                    <c:v>Amina</c:v>
                  </c:pt>
                  <c:pt idx="12">
                    <c:v>Kelvin</c:v>
                  </c:pt>
                  <c:pt idx="13">
                    <c:v>Blessing</c:v>
                  </c:pt>
                  <c:pt idx="14">
                    <c:v>Collins</c:v>
                  </c:pt>
                  <c:pt idx="15">
                    <c:v>Jennifer</c:v>
                  </c:pt>
                  <c:pt idx="16">
                    <c:v>Promise</c:v>
                  </c:pt>
                  <c:pt idx="17">
                    <c:v>Emmanuel</c:v>
                  </c:pt>
                  <c:pt idx="18">
                    <c:v>Cynthia</c:v>
                  </c:pt>
                  <c:pt idx="19">
                    <c:v>Micheal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'ASSIGNMENT 1'!$F$2:$F$21</c:f>
              <c:numCache>
                <c:formatCode>General</c:formatCode>
                <c:ptCount val="20"/>
                <c:pt idx="0">
                  <c:v>237</c:v>
                </c:pt>
                <c:pt idx="1">
                  <c:v>270</c:v>
                </c:pt>
                <c:pt idx="2">
                  <c:v>203</c:v>
                </c:pt>
                <c:pt idx="3">
                  <c:v>272</c:v>
                </c:pt>
                <c:pt idx="4">
                  <c:v>173</c:v>
                </c:pt>
                <c:pt idx="5">
                  <c:v>228</c:v>
                </c:pt>
                <c:pt idx="6">
                  <c:v>243</c:v>
                </c:pt>
                <c:pt idx="7">
                  <c:v>285</c:v>
                </c:pt>
                <c:pt idx="8">
                  <c:v>201</c:v>
                </c:pt>
                <c:pt idx="9">
                  <c:v>253</c:v>
                </c:pt>
                <c:pt idx="10">
                  <c:v>230</c:v>
                </c:pt>
                <c:pt idx="11">
                  <c:v>274</c:v>
                </c:pt>
                <c:pt idx="12">
                  <c:v>202</c:v>
                </c:pt>
                <c:pt idx="13">
                  <c:v>245</c:v>
                </c:pt>
                <c:pt idx="14">
                  <c:v>176</c:v>
                </c:pt>
                <c:pt idx="15">
                  <c:v>278</c:v>
                </c:pt>
                <c:pt idx="16">
                  <c:v>225</c:v>
                </c:pt>
                <c:pt idx="17">
                  <c:v>261</c:v>
                </c:pt>
                <c:pt idx="18">
                  <c:v>206</c:v>
                </c:pt>
                <c:pt idx="19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9C-4AD7-8A4D-F5635227F00E}"/>
            </c:ext>
          </c:extLst>
        </c:ser>
        <c:ser>
          <c:idx val="4"/>
          <c:order val="4"/>
          <c:tx>
            <c:strRef>
              <c:f>'ASSIGNMENT 1'!$G$1</c:f>
              <c:strCache>
                <c:ptCount val="1"/>
                <c:pt idx="0">
                  <c:v>Average Score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'ASSIGNMENT 1'!$A$2:$B$21</c:f>
              <c:multiLvlStrCache>
                <c:ptCount val="20"/>
                <c:lvl>
                  <c:pt idx="0">
                    <c:v>Adaora</c:v>
                  </c:pt>
                  <c:pt idx="1">
                    <c:v>Ibrahim</c:v>
                  </c:pt>
                  <c:pt idx="2">
                    <c:v>Samuel</c:v>
                  </c:pt>
                  <c:pt idx="3">
                    <c:v>Chiamaka</c:v>
                  </c:pt>
                  <c:pt idx="4">
                    <c:v>Tunde</c:v>
                  </c:pt>
                  <c:pt idx="5">
                    <c:v>Grace</c:v>
                  </c:pt>
                  <c:pt idx="6">
                    <c:v>Daniel</c:v>
                  </c:pt>
                  <c:pt idx="7">
                    <c:v>Victoria</c:v>
                  </c:pt>
                  <c:pt idx="8">
                    <c:v>Joseph</c:v>
                  </c:pt>
                  <c:pt idx="9">
                    <c:v>Fatima</c:v>
                  </c:pt>
                  <c:pt idx="10">
                    <c:v>Peter</c:v>
                  </c:pt>
                  <c:pt idx="11">
                    <c:v>Amina</c:v>
                  </c:pt>
                  <c:pt idx="12">
                    <c:v>Kelvin</c:v>
                  </c:pt>
                  <c:pt idx="13">
                    <c:v>Blessing</c:v>
                  </c:pt>
                  <c:pt idx="14">
                    <c:v>Collins</c:v>
                  </c:pt>
                  <c:pt idx="15">
                    <c:v>Jennifer</c:v>
                  </c:pt>
                  <c:pt idx="16">
                    <c:v>Promise</c:v>
                  </c:pt>
                  <c:pt idx="17">
                    <c:v>Emmanuel</c:v>
                  </c:pt>
                  <c:pt idx="18">
                    <c:v>Cynthia</c:v>
                  </c:pt>
                  <c:pt idx="19">
                    <c:v>Micheal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</c:lvl>
              </c:multiLvlStrCache>
            </c:multiLvlStrRef>
          </c:cat>
          <c:val>
            <c:numRef>
              <c:f>'ASSIGNMENT 1'!$G$2:$G$21</c:f>
              <c:numCache>
                <c:formatCode>General</c:formatCode>
                <c:ptCount val="20"/>
                <c:pt idx="0">
                  <c:v>79</c:v>
                </c:pt>
                <c:pt idx="1">
                  <c:v>90</c:v>
                </c:pt>
                <c:pt idx="2">
                  <c:v>67.666666666666671</c:v>
                </c:pt>
                <c:pt idx="3">
                  <c:v>90.666666666666671</c:v>
                </c:pt>
                <c:pt idx="4">
                  <c:v>57.666666666666664</c:v>
                </c:pt>
                <c:pt idx="5">
                  <c:v>76</c:v>
                </c:pt>
                <c:pt idx="6">
                  <c:v>81</c:v>
                </c:pt>
                <c:pt idx="7">
                  <c:v>95</c:v>
                </c:pt>
                <c:pt idx="8">
                  <c:v>67</c:v>
                </c:pt>
                <c:pt idx="9">
                  <c:v>84.333333333333329</c:v>
                </c:pt>
                <c:pt idx="10">
                  <c:v>76.666666666666671</c:v>
                </c:pt>
                <c:pt idx="11">
                  <c:v>91.333333333333329</c:v>
                </c:pt>
                <c:pt idx="12">
                  <c:v>67.333333333333329</c:v>
                </c:pt>
                <c:pt idx="13">
                  <c:v>81.666666666666671</c:v>
                </c:pt>
                <c:pt idx="14">
                  <c:v>58.666666666666664</c:v>
                </c:pt>
                <c:pt idx="15">
                  <c:v>92.666666666666671</c:v>
                </c:pt>
                <c:pt idx="16">
                  <c:v>75</c:v>
                </c:pt>
                <c:pt idx="17">
                  <c:v>87</c:v>
                </c:pt>
                <c:pt idx="18">
                  <c:v>68.666666666666671</c:v>
                </c:pt>
                <c:pt idx="19">
                  <c:v>88.666666666666671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9C-4AD7-8A4D-F5635227F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09423488"/>
        <c:axId val="1209423968"/>
      </c:barChart>
      <c:catAx>
        <c:axId val="12094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23968"/>
        <c:crosses val="autoZero"/>
        <c:auto val="1"/>
        <c:lblAlgn val="ctr"/>
        <c:lblOffset val="100"/>
        <c:noMultiLvlLbl val="0"/>
      </c:catAx>
      <c:valAx>
        <c:axId val="12094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visualization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'ASSIGNMENT 2'!$C$1</c:f>
              <c:strCache>
                <c:ptCount val="1"/>
                <c:pt idx="0">
                  <c:v>Hourly Wage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'ASSIGNMENT 2'!$A$2:$B$71</c:f>
              <c:multiLvlStrCache>
                <c:ptCount val="70"/>
                <c:lvl>
                  <c:pt idx="0">
                    <c:v>Aisha</c:v>
                  </c:pt>
                  <c:pt idx="1">
                    <c:v>Damian</c:v>
                  </c:pt>
                  <c:pt idx="2">
                    <c:v>Selena</c:v>
                  </c:pt>
                  <c:pt idx="3">
                    <c:v>Marcus</c:v>
                  </c:pt>
                  <c:pt idx="4">
                    <c:v>Lilian</c:v>
                  </c:pt>
                  <c:pt idx="5">
                    <c:v>Travis</c:v>
                  </c:pt>
                  <c:pt idx="6">
                    <c:v>Harmony</c:v>
                  </c:pt>
                  <c:pt idx="7">
                    <c:v>Owen</c:v>
                  </c:pt>
                  <c:pt idx="8">
                    <c:v>Khadija</c:v>
                  </c:pt>
                  <c:pt idx="9">
                    <c:v>Reuben</c:v>
                  </c:pt>
                  <c:pt idx="10">
                    <c:v>Faith</c:v>
                  </c:pt>
                  <c:pt idx="11">
                    <c:v>Desmond</c:v>
                  </c:pt>
                  <c:pt idx="12">
                    <c:v>Vivian</c:v>
                  </c:pt>
                  <c:pt idx="13">
                    <c:v>Harold</c:v>
                  </c:pt>
                  <c:pt idx="14">
                    <c:v>Bryson</c:v>
                  </c:pt>
                  <c:pt idx="15">
                    <c:v>Melody</c:v>
                  </c:pt>
                  <c:pt idx="16">
                    <c:v>Winston</c:v>
                  </c:pt>
                  <c:pt idx="17">
                    <c:v>Naomi</c:v>
                  </c:pt>
                  <c:pt idx="18">
                    <c:v>Cedric</c:v>
                  </c:pt>
                  <c:pt idx="19">
                    <c:v>Kendra</c:v>
                  </c:pt>
                  <c:pt idx="20">
                    <c:v>Braylen</c:v>
                  </c:pt>
                  <c:pt idx="21">
                    <c:v>Stella</c:v>
                  </c:pt>
                  <c:pt idx="22">
                    <c:v>Edwin</c:v>
                  </c:pt>
                  <c:pt idx="23">
                    <c:v>Zaria</c:v>
                  </c:pt>
                  <c:pt idx="24">
                    <c:v>Callum</c:v>
                  </c:pt>
                  <c:pt idx="25">
                    <c:v>Yasmin</c:v>
                  </c:pt>
                  <c:pt idx="26">
                    <c:v>Corbin</c:v>
                  </c:pt>
                  <c:pt idx="27">
                    <c:v>Helena</c:v>
                  </c:pt>
                  <c:pt idx="28">
                    <c:v>Marlon</c:v>
                  </c:pt>
                  <c:pt idx="29">
                    <c:v>Talia</c:v>
                  </c:pt>
                  <c:pt idx="30">
                    <c:v>Rex</c:v>
                  </c:pt>
                  <c:pt idx="31">
                    <c:v>Miracle</c:v>
                  </c:pt>
                  <c:pt idx="32">
                    <c:v>Franklin</c:v>
                  </c:pt>
                  <c:pt idx="33">
                    <c:v>Ophelia</c:v>
                  </c:pt>
                  <c:pt idx="34">
                    <c:v>Dakota</c:v>
                  </c:pt>
                  <c:pt idx="35">
                    <c:v>Benson</c:v>
                  </c:pt>
                  <c:pt idx="36">
                    <c:v>Clarissa</c:v>
                  </c:pt>
                  <c:pt idx="37">
                    <c:v>Roland</c:v>
                  </c:pt>
                  <c:pt idx="38">
                    <c:v>Ivy</c:v>
                  </c:pt>
                  <c:pt idx="39">
                    <c:v>Terrence</c:v>
                  </c:pt>
                  <c:pt idx="40">
                    <c:v>Nora</c:v>
                  </c:pt>
                  <c:pt idx="41">
                    <c:v>Quentin</c:v>
                  </c:pt>
                  <c:pt idx="42">
                    <c:v>Patience</c:v>
                  </c:pt>
                  <c:pt idx="43">
                    <c:v>Irvin</c:v>
                  </c:pt>
                  <c:pt idx="44">
                    <c:v>Sahara</c:v>
                  </c:pt>
                  <c:pt idx="45">
                    <c:v>Eldon</c:v>
                  </c:pt>
                  <c:pt idx="46">
                    <c:v>Cassidy</c:v>
                  </c:pt>
                  <c:pt idx="47">
                    <c:v>Marvin</c:v>
                  </c:pt>
                  <c:pt idx="48">
                    <c:v>Hannah</c:v>
                  </c:pt>
                  <c:pt idx="49">
                    <c:v>Darian</c:v>
                  </c:pt>
                  <c:pt idx="50">
                    <c:v>Bridget</c:v>
                  </c:pt>
                  <c:pt idx="51">
                    <c:v>Silas</c:v>
                  </c:pt>
                  <c:pt idx="52">
                    <c:v>Hadassah</c:v>
                  </c:pt>
                  <c:pt idx="53">
                    <c:v>Kellan</c:v>
                  </c:pt>
                  <c:pt idx="54">
                    <c:v>Norah</c:v>
                  </c:pt>
                  <c:pt idx="55">
                    <c:v>Ramon</c:v>
                  </c:pt>
                  <c:pt idx="56">
                    <c:v>Liora</c:v>
                  </c:pt>
                  <c:pt idx="57">
                    <c:v>Dennis</c:v>
                  </c:pt>
                  <c:pt idx="58">
                    <c:v>Amir</c:v>
                  </c:pt>
                  <c:pt idx="59">
                    <c:v>Selah</c:v>
                  </c:pt>
                  <c:pt idx="60">
                    <c:v>Jericho</c:v>
                  </c:pt>
                  <c:pt idx="61">
                    <c:v>Autumn</c:v>
                  </c:pt>
                  <c:pt idx="62">
                    <c:v>Kason</c:v>
                  </c:pt>
                  <c:pt idx="63">
                    <c:v>Lorelei</c:v>
                  </c:pt>
                  <c:pt idx="64">
                    <c:v>Ryder</c:v>
                  </c:pt>
                  <c:pt idx="65">
                    <c:v>Halima</c:v>
                  </c:pt>
                  <c:pt idx="66">
                    <c:v>Cooper</c:v>
                  </c:pt>
                  <c:pt idx="67">
                    <c:v>Zainab</c:v>
                  </c:pt>
                  <c:pt idx="68">
                    <c:v>Preston</c:v>
                  </c:pt>
                  <c:pt idx="69">
                    <c:v>Amara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'ASSIGNMENT 2'!$C$2:$C$71</c:f>
              <c:numCache>
                <c:formatCode>_-[$₦-466]\ * #,##0.00_-;\-[$₦-466]\ * #,##0.00_-;_-[$₦-466]\ * "-"??_-;_-@_-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3-45E5-B5A1-867E79D5BDF8}"/>
            </c:ext>
          </c:extLst>
        </c:ser>
        <c:ser>
          <c:idx val="1"/>
          <c:order val="1"/>
          <c:tx>
            <c:strRef>
              <c:f>'ASSIGNMENT 2'!$D$1</c:f>
              <c:strCache>
                <c:ptCount val="1"/>
                <c:pt idx="0">
                  <c:v>Hours Worked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'ASSIGNMENT 2'!$A$2:$B$71</c:f>
              <c:multiLvlStrCache>
                <c:ptCount val="70"/>
                <c:lvl>
                  <c:pt idx="0">
                    <c:v>Aisha</c:v>
                  </c:pt>
                  <c:pt idx="1">
                    <c:v>Damian</c:v>
                  </c:pt>
                  <c:pt idx="2">
                    <c:v>Selena</c:v>
                  </c:pt>
                  <c:pt idx="3">
                    <c:v>Marcus</c:v>
                  </c:pt>
                  <c:pt idx="4">
                    <c:v>Lilian</c:v>
                  </c:pt>
                  <c:pt idx="5">
                    <c:v>Travis</c:v>
                  </c:pt>
                  <c:pt idx="6">
                    <c:v>Harmony</c:v>
                  </c:pt>
                  <c:pt idx="7">
                    <c:v>Owen</c:v>
                  </c:pt>
                  <c:pt idx="8">
                    <c:v>Khadija</c:v>
                  </c:pt>
                  <c:pt idx="9">
                    <c:v>Reuben</c:v>
                  </c:pt>
                  <c:pt idx="10">
                    <c:v>Faith</c:v>
                  </c:pt>
                  <c:pt idx="11">
                    <c:v>Desmond</c:v>
                  </c:pt>
                  <c:pt idx="12">
                    <c:v>Vivian</c:v>
                  </c:pt>
                  <c:pt idx="13">
                    <c:v>Harold</c:v>
                  </c:pt>
                  <c:pt idx="14">
                    <c:v>Bryson</c:v>
                  </c:pt>
                  <c:pt idx="15">
                    <c:v>Melody</c:v>
                  </c:pt>
                  <c:pt idx="16">
                    <c:v>Winston</c:v>
                  </c:pt>
                  <c:pt idx="17">
                    <c:v>Naomi</c:v>
                  </c:pt>
                  <c:pt idx="18">
                    <c:v>Cedric</c:v>
                  </c:pt>
                  <c:pt idx="19">
                    <c:v>Kendra</c:v>
                  </c:pt>
                  <c:pt idx="20">
                    <c:v>Braylen</c:v>
                  </c:pt>
                  <c:pt idx="21">
                    <c:v>Stella</c:v>
                  </c:pt>
                  <c:pt idx="22">
                    <c:v>Edwin</c:v>
                  </c:pt>
                  <c:pt idx="23">
                    <c:v>Zaria</c:v>
                  </c:pt>
                  <c:pt idx="24">
                    <c:v>Callum</c:v>
                  </c:pt>
                  <c:pt idx="25">
                    <c:v>Yasmin</c:v>
                  </c:pt>
                  <c:pt idx="26">
                    <c:v>Corbin</c:v>
                  </c:pt>
                  <c:pt idx="27">
                    <c:v>Helena</c:v>
                  </c:pt>
                  <c:pt idx="28">
                    <c:v>Marlon</c:v>
                  </c:pt>
                  <c:pt idx="29">
                    <c:v>Talia</c:v>
                  </c:pt>
                  <c:pt idx="30">
                    <c:v>Rex</c:v>
                  </c:pt>
                  <c:pt idx="31">
                    <c:v>Miracle</c:v>
                  </c:pt>
                  <c:pt idx="32">
                    <c:v>Franklin</c:v>
                  </c:pt>
                  <c:pt idx="33">
                    <c:v>Ophelia</c:v>
                  </c:pt>
                  <c:pt idx="34">
                    <c:v>Dakota</c:v>
                  </c:pt>
                  <c:pt idx="35">
                    <c:v>Benson</c:v>
                  </c:pt>
                  <c:pt idx="36">
                    <c:v>Clarissa</c:v>
                  </c:pt>
                  <c:pt idx="37">
                    <c:v>Roland</c:v>
                  </c:pt>
                  <c:pt idx="38">
                    <c:v>Ivy</c:v>
                  </c:pt>
                  <c:pt idx="39">
                    <c:v>Terrence</c:v>
                  </c:pt>
                  <c:pt idx="40">
                    <c:v>Nora</c:v>
                  </c:pt>
                  <c:pt idx="41">
                    <c:v>Quentin</c:v>
                  </c:pt>
                  <c:pt idx="42">
                    <c:v>Patience</c:v>
                  </c:pt>
                  <c:pt idx="43">
                    <c:v>Irvin</c:v>
                  </c:pt>
                  <c:pt idx="44">
                    <c:v>Sahara</c:v>
                  </c:pt>
                  <c:pt idx="45">
                    <c:v>Eldon</c:v>
                  </c:pt>
                  <c:pt idx="46">
                    <c:v>Cassidy</c:v>
                  </c:pt>
                  <c:pt idx="47">
                    <c:v>Marvin</c:v>
                  </c:pt>
                  <c:pt idx="48">
                    <c:v>Hannah</c:v>
                  </c:pt>
                  <c:pt idx="49">
                    <c:v>Darian</c:v>
                  </c:pt>
                  <c:pt idx="50">
                    <c:v>Bridget</c:v>
                  </c:pt>
                  <c:pt idx="51">
                    <c:v>Silas</c:v>
                  </c:pt>
                  <c:pt idx="52">
                    <c:v>Hadassah</c:v>
                  </c:pt>
                  <c:pt idx="53">
                    <c:v>Kellan</c:v>
                  </c:pt>
                  <c:pt idx="54">
                    <c:v>Norah</c:v>
                  </c:pt>
                  <c:pt idx="55">
                    <c:v>Ramon</c:v>
                  </c:pt>
                  <c:pt idx="56">
                    <c:v>Liora</c:v>
                  </c:pt>
                  <c:pt idx="57">
                    <c:v>Dennis</c:v>
                  </c:pt>
                  <c:pt idx="58">
                    <c:v>Amir</c:v>
                  </c:pt>
                  <c:pt idx="59">
                    <c:v>Selah</c:v>
                  </c:pt>
                  <c:pt idx="60">
                    <c:v>Jericho</c:v>
                  </c:pt>
                  <c:pt idx="61">
                    <c:v>Autumn</c:v>
                  </c:pt>
                  <c:pt idx="62">
                    <c:v>Kason</c:v>
                  </c:pt>
                  <c:pt idx="63">
                    <c:v>Lorelei</c:v>
                  </c:pt>
                  <c:pt idx="64">
                    <c:v>Ryder</c:v>
                  </c:pt>
                  <c:pt idx="65">
                    <c:v>Halima</c:v>
                  </c:pt>
                  <c:pt idx="66">
                    <c:v>Cooper</c:v>
                  </c:pt>
                  <c:pt idx="67">
                    <c:v>Zainab</c:v>
                  </c:pt>
                  <c:pt idx="68">
                    <c:v>Preston</c:v>
                  </c:pt>
                  <c:pt idx="69">
                    <c:v>Amara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'ASSIGNMENT 2'!$D$2:$D$71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3-45E5-B5A1-867E79D5BDF8}"/>
            </c:ext>
          </c:extLst>
        </c:ser>
        <c:ser>
          <c:idx val="2"/>
          <c:order val="2"/>
          <c:tx>
            <c:strRef>
              <c:f>'ASSIGNMENT 2'!$E$1</c:f>
              <c:strCache>
                <c:ptCount val="1"/>
                <c:pt idx="0">
                  <c:v>Taxable Income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'ASSIGNMENT 2'!$A$2:$B$71</c:f>
              <c:multiLvlStrCache>
                <c:ptCount val="70"/>
                <c:lvl>
                  <c:pt idx="0">
                    <c:v>Aisha</c:v>
                  </c:pt>
                  <c:pt idx="1">
                    <c:v>Damian</c:v>
                  </c:pt>
                  <c:pt idx="2">
                    <c:v>Selena</c:v>
                  </c:pt>
                  <c:pt idx="3">
                    <c:v>Marcus</c:v>
                  </c:pt>
                  <c:pt idx="4">
                    <c:v>Lilian</c:v>
                  </c:pt>
                  <c:pt idx="5">
                    <c:v>Travis</c:v>
                  </c:pt>
                  <c:pt idx="6">
                    <c:v>Harmony</c:v>
                  </c:pt>
                  <c:pt idx="7">
                    <c:v>Owen</c:v>
                  </c:pt>
                  <c:pt idx="8">
                    <c:v>Khadija</c:v>
                  </c:pt>
                  <c:pt idx="9">
                    <c:v>Reuben</c:v>
                  </c:pt>
                  <c:pt idx="10">
                    <c:v>Faith</c:v>
                  </c:pt>
                  <c:pt idx="11">
                    <c:v>Desmond</c:v>
                  </c:pt>
                  <c:pt idx="12">
                    <c:v>Vivian</c:v>
                  </c:pt>
                  <c:pt idx="13">
                    <c:v>Harold</c:v>
                  </c:pt>
                  <c:pt idx="14">
                    <c:v>Bryson</c:v>
                  </c:pt>
                  <c:pt idx="15">
                    <c:v>Melody</c:v>
                  </c:pt>
                  <c:pt idx="16">
                    <c:v>Winston</c:v>
                  </c:pt>
                  <c:pt idx="17">
                    <c:v>Naomi</c:v>
                  </c:pt>
                  <c:pt idx="18">
                    <c:v>Cedric</c:v>
                  </c:pt>
                  <c:pt idx="19">
                    <c:v>Kendra</c:v>
                  </c:pt>
                  <c:pt idx="20">
                    <c:v>Braylen</c:v>
                  </c:pt>
                  <c:pt idx="21">
                    <c:v>Stella</c:v>
                  </c:pt>
                  <c:pt idx="22">
                    <c:v>Edwin</c:v>
                  </c:pt>
                  <c:pt idx="23">
                    <c:v>Zaria</c:v>
                  </c:pt>
                  <c:pt idx="24">
                    <c:v>Callum</c:v>
                  </c:pt>
                  <c:pt idx="25">
                    <c:v>Yasmin</c:v>
                  </c:pt>
                  <c:pt idx="26">
                    <c:v>Corbin</c:v>
                  </c:pt>
                  <c:pt idx="27">
                    <c:v>Helena</c:v>
                  </c:pt>
                  <c:pt idx="28">
                    <c:v>Marlon</c:v>
                  </c:pt>
                  <c:pt idx="29">
                    <c:v>Talia</c:v>
                  </c:pt>
                  <c:pt idx="30">
                    <c:v>Rex</c:v>
                  </c:pt>
                  <c:pt idx="31">
                    <c:v>Miracle</c:v>
                  </c:pt>
                  <c:pt idx="32">
                    <c:v>Franklin</c:v>
                  </c:pt>
                  <c:pt idx="33">
                    <c:v>Ophelia</c:v>
                  </c:pt>
                  <c:pt idx="34">
                    <c:v>Dakota</c:v>
                  </c:pt>
                  <c:pt idx="35">
                    <c:v>Benson</c:v>
                  </c:pt>
                  <c:pt idx="36">
                    <c:v>Clarissa</c:v>
                  </c:pt>
                  <c:pt idx="37">
                    <c:v>Roland</c:v>
                  </c:pt>
                  <c:pt idx="38">
                    <c:v>Ivy</c:v>
                  </c:pt>
                  <c:pt idx="39">
                    <c:v>Terrence</c:v>
                  </c:pt>
                  <c:pt idx="40">
                    <c:v>Nora</c:v>
                  </c:pt>
                  <c:pt idx="41">
                    <c:v>Quentin</c:v>
                  </c:pt>
                  <c:pt idx="42">
                    <c:v>Patience</c:v>
                  </c:pt>
                  <c:pt idx="43">
                    <c:v>Irvin</c:v>
                  </c:pt>
                  <c:pt idx="44">
                    <c:v>Sahara</c:v>
                  </c:pt>
                  <c:pt idx="45">
                    <c:v>Eldon</c:v>
                  </c:pt>
                  <c:pt idx="46">
                    <c:v>Cassidy</c:v>
                  </c:pt>
                  <c:pt idx="47">
                    <c:v>Marvin</c:v>
                  </c:pt>
                  <c:pt idx="48">
                    <c:v>Hannah</c:v>
                  </c:pt>
                  <c:pt idx="49">
                    <c:v>Darian</c:v>
                  </c:pt>
                  <c:pt idx="50">
                    <c:v>Bridget</c:v>
                  </c:pt>
                  <c:pt idx="51">
                    <c:v>Silas</c:v>
                  </c:pt>
                  <c:pt idx="52">
                    <c:v>Hadassah</c:v>
                  </c:pt>
                  <c:pt idx="53">
                    <c:v>Kellan</c:v>
                  </c:pt>
                  <c:pt idx="54">
                    <c:v>Norah</c:v>
                  </c:pt>
                  <c:pt idx="55">
                    <c:v>Ramon</c:v>
                  </c:pt>
                  <c:pt idx="56">
                    <c:v>Liora</c:v>
                  </c:pt>
                  <c:pt idx="57">
                    <c:v>Dennis</c:v>
                  </c:pt>
                  <c:pt idx="58">
                    <c:v>Amir</c:v>
                  </c:pt>
                  <c:pt idx="59">
                    <c:v>Selah</c:v>
                  </c:pt>
                  <c:pt idx="60">
                    <c:v>Jericho</c:v>
                  </c:pt>
                  <c:pt idx="61">
                    <c:v>Autumn</c:v>
                  </c:pt>
                  <c:pt idx="62">
                    <c:v>Kason</c:v>
                  </c:pt>
                  <c:pt idx="63">
                    <c:v>Lorelei</c:v>
                  </c:pt>
                  <c:pt idx="64">
                    <c:v>Ryder</c:v>
                  </c:pt>
                  <c:pt idx="65">
                    <c:v>Halima</c:v>
                  </c:pt>
                  <c:pt idx="66">
                    <c:v>Cooper</c:v>
                  </c:pt>
                  <c:pt idx="67">
                    <c:v>Zainab</c:v>
                  </c:pt>
                  <c:pt idx="68">
                    <c:v>Preston</c:v>
                  </c:pt>
                  <c:pt idx="69">
                    <c:v>Amara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'ASSIGNMENT 2'!$E$2:$E$71</c:f>
              <c:numCache>
                <c:formatCode>_-[$₦-466]\ * #,##0.00_-;\-[$₦-466]\ * #,##0.00_-;_-[$₦-466]\ * "-"??_-;_-@_-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3-45E5-B5A1-867E79D5BDF8}"/>
            </c:ext>
          </c:extLst>
        </c:ser>
        <c:ser>
          <c:idx val="3"/>
          <c:order val="3"/>
          <c:tx>
            <c:strRef>
              <c:f>'ASSIGNMENT 2'!$F$1</c:f>
              <c:strCache>
                <c:ptCount val="1"/>
                <c:pt idx="0">
                  <c:v>Taxes to Be Paid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'ASSIGNMENT 2'!$A$2:$B$71</c:f>
              <c:multiLvlStrCache>
                <c:ptCount val="70"/>
                <c:lvl>
                  <c:pt idx="0">
                    <c:v>Aisha</c:v>
                  </c:pt>
                  <c:pt idx="1">
                    <c:v>Damian</c:v>
                  </c:pt>
                  <c:pt idx="2">
                    <c:v>Selena</c:v>
                  </c:pt>
                  <c:pt idx="3">
                    <c:v>Marcus</c:v>
                  </c:pt>
                  <c:pt idx="4">
                    <c:v>Lilian</c:v>
                  </c:pt>
                  <c:pt idx="5">
                    <c:v>Travis</c:v>
                  </c:pt>
                  <c:pt idx="6">
                    <c:v>Harmony</c:v>
                  </c:pt>
                  <c:pt idx="7">
                    <c:v>Owen</c:v>
                  </c:pt>
                  <c:pt idx="8">
                    <c:v>Khadija</c:v>
                  </c:pt>
                  <c:pt idx="9">
                    <c:v>Reuben</c:v>
                  </c:pt>
                  <c:pt idx="10">
                    <c:v>Faith</c:v>
                  </c:pt>
                  <c:pt idx="11">
                    <c:v>Desmond</c:v>
                  </c:pt>
                  <c:pt idx="12">
                    <c:v>Vivian</c:v>
                  </c:pt>
                  <c:pt idx="13">
                    <c:v>Harold</c:v>
                  </c:pt>
                  <c:pt idx="14">
                    <c:v>Bryson</c:v>
                  </c:pt>
                  <c:pt idx="15">
                    <c:v>Melody</c:v>
                  </c:pt>
                  <c:pt idx="16">
                    <c:v>Winston</c:v>
                  </c:pt>
                  <c:pt idx="17">
                    <c:v>Naomi</c:v>
                  </c:pt>
                  <c:pt idx="18">
                    <c:v>Cedric</c:v>
                  </c:pt>
                  <c:pt idx="19">
                    <c:v>Kendra</c:v>
                  </c:pt>
                  <c:pt idx="20">
                    <c:v>Braylen</c:v>
                  </c:pt>
                  <c:pt idx="21">
                    <c:v>Stella</c:v>
                  </c:pt>
                  <c:pt idx="22">
                    <c:v>Edwin</c:v>
                  </c:pt>
                  <c:pt idx="23">
                    <c:v>Zaria</c:v>
                  </c:pt>
                  <c:pt idx="24">
                    <c:v>Callum</c:v>
                  </c:pt>
                  <c:pt idx="25">
                    <c:v>Yasmin</c:v>
                  </c:pt>
                  <c:pt idx="26">
                    <c:v>Corbin</c:v>
                  </c:pt>
                  <c:pt idx="27">
                    <c:v>Helena</c:v>
                  </c:pt>
                  <c:pt idx="28">
                    <c:v>Marlon</c:v>
                  </c:pt>
                  <c:pt idx="29">
                    <c:v>Talia</c:v>
                  </c:pt>
                  <c:pt idx="30">
                    <c:v>Rex</c:v>
                  </c:pt>
                  <c:pt idx="31">
                    <c:v>Miracle</c:v>
                  </c:pt>
                  <c:pt idx="32">
                    <c:v>Franklin</c:v>
                  </c:pt>
                  <c:pt idx="33">
                    <c:v>Ophelia</c:v>
                  </c:pt>
                  <c:pt idx="34">
                    <c:v>Dakota</c:v>
                  </c:pt>
                  <c:pt idx="35">
                    <c:v>Benson</c:v>
                  </c:pt>
                  <c:pt idx="36">
                    <c:v>Clarissa</c:v>
                  </c:pt>
                  <c:pt idx="37">
                    <c:v>Roland</c:v>
                  </c:pt>
                  <c:pt idx="38">
                    <c:v>Ivy</c:v>
                  </c:pt>
                  <c:pt idx="39">
                    <c:v>Terrence</c:v>
                  </c:pt>
                  <c:pt idx="40">
                    <c:v>Nora</c:v>
                  </c:pt>
                  <c:pt idx="41">
                    <c:v>Quentin</c:v>
                  </c:pt>
                  <c:pt idx="42">
                    <c:v>Patience</c:v>
                  </c:pt>
                  <c:pt idx="43">
                    <c:v>Irvin</c:v>
                  </c:pt>
                  <c:pt idx="44">
                    <c:v>Sahara</c:v>
                  </c:pt>
                  <c:pt idx="45">
                    <c:v>Eldon</c:v>
                  </c:pt>
                  <c:pt idx="46">
                    <c:v>Cassidy</c:v>
                  </c:pt>
                  <c:pt idx="47">
                    <c:v>Marvin</c:v>
                  </c:pt>
                  <c:pt idx="48">
                    <c:v>Hannah</c:v>
                  </c:pt>
                  <c:pt idx="49">
                    <c:v>Darian</c:v>
                  </c:pt>
                  <c:pt idx="50">
                    <c:v>Bridget</c:v>
                  </c:pt>
                  <c:pt idx="51">
                    <c:v>Silas</c:v>
                  </c:pt>
                  <c:pt idx="52">
                    <c:v>Hadassah</c:v>
                  </c:pt>
                  <c:pt idx="53">
                    <c:v>Kellan</c:v>
                  </c:pt>
                  <c:pt idx="54">
                    <c:v>Norah</c:v>
                  </c:pt>
                  <c:pt idx="55">
                    <c:v>Ramon</c:v>
                  </c:pt>
                  <c:pt idx="56">
                    <c:v>Liora</c:v>
                  </c:pt>
                  <c:pt idx="57">
                    <c:v>Dennis</c:v>
                  </c:pt>
                  <c:pt idx="58">
                    <c:v>Amir</c:v>
                  </c:pt>
                  <c:pt idx="59">
                    <c:v>Selah</c:v>
                  </c:pt>
                  <c:pt idx="60">
                    <c:v>Jericho</c:v>
                  </c:pt>
                  <c:pt idx="61">
                    <c:v>Autumn</c:v>
                  </c:pt>
                  <c:pt idx="62">
                    <c:v>Kason</c:v>
                  </c:pt>
                  <c:pt idx="63">
                    <c:v>Lorelei</c:v>
                  </c:pt>
                  <c:pt idx="64">
                    <c:v>Ryder</c:v>
                  </c:pt>
                  <c:pt idx="65">
                    <c:v>Halima</c:v>
                  </c:pt>
                  <c:pt idx="66">
                    <c:v>Cooper</c:v>
                  </c:pt>
                  <c:pt idx="67">
                    <c:v>Zainab</c:v>
                  </c:pt>
                  <c:pt idx="68">
                    <c:v>Preston</c:v>
                  </c:pt>
                  <c:pt idx="69">
                    <c:v>Amara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'ASSIGNMENT 2'!$F$2:$F$71</c:f>
              <c:numCache>
                <c:formatCode>_-[$₦-466]\ * #,##0.00_-;\-[$₦-466]\ * #,##0.00_-;_-[$₦-466]\ * "-"??_-;_-@_-</c:formatCode>
                <c:ptCount val="70"/>
                <c:pt idx="0">
                  <c:v>157.61000000000001</c:v>
                </c:pt>
                <c:pt idx="1">
                  <c:v>173.6</c:v>
                </c:pt>
                <c:pt idx="2">
                  <c:v>140</c:v>
                </c:pt>
                <c:pt idx="3">
                  <c:v>158.81</c:v>
                </c:pt>
                <c:pt idx="4">
                  <c:v>156.24</c:v>
                </c:pt>
                <c:pt idx="5">
                  <c:v>207.06</c:v>
                </c:pt>
                <c:pt idx="6">
                  <c:v>154.96</c:v>
                </c:pt>
                <c:pt idx="7">
                  <c:v>74.87</c:v>
                </c:pt>
                <c:pt idx="8">
                  <c:v>63.96</c:v>
                </c:pt>
                <c:pt idx="9">
                  <c:v>126.95</c:v>
                </c:pt>
                <c:pt idx="10">
                  <c:v>134.4</c:v>
                </c:pt>
                <c:pt idx="11">
                  <c:v>164.92</c:v>
                </c:pt>
                <c:pt idx="12">
                  <c:v>106.1</c:v>
                </c:pt>
                <c:pt idx="13">
                  <c:v>62.16</c:v>
                </c:pt>
                <c:pt idx="14">
                  <c:v>147.63</c:v>
                </c:pt>
                <c:pt idx="15">
                  <c:v>157.08000000000001</c:v>
                </c:pt>
                <c:pt idx="16">
                  <c:v>223.44</c:v>
                </c:pt>
                <c:pt idx="17">
                  <c:v>209.44</c:v>
                </c:pt>
                <c:pt idx="18">
                  <c:v>88.2</c:v>
                </c:pt>
                <c:pt idx="19">
                  <c:v>159.38999999999999</c:v>
                </c:pt>
                <c:pt idx="20">
                  <c:v>65.52</c:v>
                </c:pt>
                <c:pt idx="21">
                  <c:v>109.2</c:v>
                </c:pt>
                <c:pt idx="22">
                  <c:v>262.08</c:v>
                </c:pt>
                <c:pt idx="23">
                  <c:v>149.38</c:v>
                </c:pt>
                <c:pt idx="24">
                  <c:v>445.76</c:v>
                </c:pt>
                <c:pt idx="25">
                  <c:v>123.2</c:v>
                </c:pt>
                <c:pt idx="26">
                  <c:v>152.88</c:v>
                </c:pt>
                <c:pt idx="27">
                  <c:v>126.95</c:v>
                </c:pt>
                <c:pt idx="28">
                  <c:v>79.8</c:v>
                </c:pt>
                <c:pt idx="29">
                  <c:v>147</c:v>
                </c:pt>
                <c:pt idx="30">
                  <c:v>94.4</c:v>
                </c:pt>
                <c:pt idx="31">
                  <c:v>106.93</c:v>
                </c:pt>
                <c:pt idx="32">
                  <c:v>155.4</c:v>
                </c:pt>
                <c:pt idx="33">
                  <c:v>202.16</c:v>
                </c:pt>
                <c:pt idx="34">
                  <c:v>221.34</c:v>
                </c:pt>
                <c:pt idx="35">
                  <c:v>127.68</c:v>
                </c:pt>
                <c:pt idx="36">
                  <c:v>112</c:v>
                </c:pt>
                <c:pt idx="37">
                  <c:v>156.24</c:v>
                </c:pt>
                <c:pt idx="38">
                  <c:v>77.040000000000006</c:v>
                </c:pt>
                <c:pt idx="39">
                  <c:v>81.34</c:v>
                </c:pt>
                <c:pt idx="40">
                  <c:v>141.12</c:v>
                </c:pt>
                <c:pt idx="41">
                  <c:v>127.05</c:v>
                </c:pt>
                <c:pt idx="42">
                  <c:v>121.8</c:v>
                </c:pt>
                <c:pt idx="43">
                  <c:v>144.31</c:v>
                </c:pt>
                <c:pt idx="44">
                  <c:v>75.67</c:v>
                </c:pt>
                <c:pt idx="45">
                  <c:v>62.16</c:v>
                </c:pt>
                <c:pt idx="46">
                  <c:v>267.33</c:v>
                </c:pt>
                <c:pt idx="47">
                  <c:v>133.28</c:v>
                </c:pt>
                <c:pt idx="48">
                  <c:v>220.78</c:v>
                </c:pt>
                <c:pt idx="49">
                  <c:v>179.2</c:v>
                </c:pt>
                <c:pt idx="50">
                  <c:v>147.41999999999999</c:v>
                </c:pt>
                <c:pt idx="51">
                  <c:v>122.36</c:v>
                </c:pt>
                <c:pt idx="52">
                  <c:v>139.97</c:v>
                </c:pt>
                <c:pt idx="53">
                  <c:v>80.290000000000006</c:v>
                </c:pt>
                <c:pt idx="54">
                  <c:v>93.24</c:v>
                </c:pt>
                <c:pt idx="55">
                  <c:v>143.22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</c:v>
                </c:pt>
                <c:pt idx="59">
                  <c:v>164.22</c:v>
                </c:pt>
                <c:pt idx="60">
                  <c:v>95.76</c:v>
                </c:pt>
                <c:pt idx="61">
                  <c:v>145.6</c:v>
                </c:pt>
                <c:pt idx="62">
                  <c:v>262.08</c:v>
                </c:pt>
                <c:pt idx="63">
                  <c:v>74.69</c:v>
                </c:pt>
                <c:pt idx="64">
                  <c:v>215.92</c:v>
                </c:pt>
                <c:pt idx="65">
                  <c:v>123.2</c:v>
                </c:pt>
                <c:pt idx="66">
                  <c:v>131.04</c:v>
                </c:pt>
                <c:pt idx="67">
                  <c:v>126.95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B3-45E5-B5A1-867E79D5B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287576608"/>
        <c:axId val="1287575648"/>
      </c:barChart>
      <c:catAx>
        <c:axId val="1287576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575648"/>
        <c:crosses val="autoZero"/>
        <c:auto val="1"/>
        <c:lblAlgn val="ctr"/>
        <c:lblOffset val="100"/>
        <c:noMultiLvlLbl val="0"/>
      </c:catAx>
      <c:valAx>
        <c:axId val="12875756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₦-466]\ * #,##0.00_-;\-[$₦-466]\ * #,##0.00_-;_-[$₦-46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57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21</xdr:row>
      <xdr:rowOff>85724</xdr:rowOff>
    </xdr:from>
    <xdr:to>
      <xdr:col>7</xdr:col>
      <xdr:colOff>666750</xdr:colOff>
      <xdr:row>35</xdr:row>
      <xdr:rowOff>100011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1CAF3B-B97A-3912-7E3A-BABCE289F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733425</xdr:colOff>
      <xdr:row>76</xdr:row>
      <xdr:rowOff>61912</xdr:rowOff>
    </xdr:from>
    <xdr:to>
      <xdr:col>5</xdr:col>
      <xdr:colOff>781050</xdr:colOff>
      <xdr:row>90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6264E6-E9B9-34F2-F4E2-29EA17FC8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1D7B90-4F67-4A2F-B276-1767DC48BEB4}" name="Table2" displayName="Table2" ref="A1:H26" totalsRowShown="0" headerRowDxfId="24" headerRowBorderDxfId="23" tableBorderDxfId="22" totalsRowBorderDxfId="21">
  <autoFilter ref="A1:H26" xr:uid="{4E1D7B90-4F67-4A2F-B276-1767DC48BEB4}"/>
  <tableColumns count="8">
    <tableColumn id="1" xr3:uid="{CC459C0D-5645-4E8B-B91D-2B2FE794A56D}" name="Student ID" dataDxfId="20"/>
    <tableColumn id="2" xr3:uid="{D5F9DA5D-6C90-4DFF-BE8C-DDE8F788ADE4}" name="Name" dataDxfId="19"/>
    <tableColumn id="3" xr3:uid="{10B73855-1E79-49E6-AA22-6CD3EC12FA55}" name="Math Score" dataDxfId="18"/>
    <tableColumn id="4" xr3:uid="{FA268F4A-9F0D-4729-A95D-E19046190594}" name="English Score" dataDxfId="17"/>
    <tableColumn id="5" xr3:uid="{4B308CCD-2BE9-425C-ACBE-7D031D6DABA1}" name="Science Score" dataDxfId="16"/>
    <tableColumn id="6" xr3:uid="{B9265BCE-BC53-4EAE-9E1F-960D96426D87}" name="Total Score" dataDxfId="15"/>
    <tableColumn id="7" xr3:uid="{1120A13E-70AD-451D-B88F-8AA597054972}" name="Average Score" dataDxfId="14"/>
    <tableColumn id="8" xr3:uid="{4011ADB3-BA95-4B11-A8CA-29A128593605}" name="Rank" dataDxfId="13">
      <calculatedColumnFormula>RANK(G2, $G$2:$G$21,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8421C-30BC-4FE1-B61C-B286CCA15E2B}" name="Table1" displayName="Table1" ref="A1:I92" totalsRowShown="0" headerRowDxfId="0" headerRowBorderDxfId="11" tableBorderDxfId="12" totalsRowBorderDxfId="10">
  <autoFilter ref="A1:I92" xr:uid="{B258421C-30BC-4FE1-B61C-B286CCA15E2B}"/>
  <tableColumns count="9">
    <tableColumn id="1" xr3:uid="{DF23D9F3-1E4A-4E3D-AA6C-3C97A0F6F642}" name="Employee ID" dataDxfId="9"/>
    <tableColumn id="2" xr3:uid="{C7DCFFA2-DAD4-4471-93DE-E9455E9D60F4}" name="Name" dataDxfId="8"/>
    <tableColumn id="3" xr3:uid="{05C20E12-3826-4B00-8D85-6F5FC4FD1697}" name="Hourly Wage" dataDxfId="7"/>
    <tableColumn id="4" xr3:uid="{A32CE4AA-CAA5-4F98-85E8-C1C7F43BFEBB}" name="Hours Worked" dataDxfId="6"/>
    <tableColumn id="5" xr3:uid="{CA2EFA7D-D40D-4BD2-B83C-50B61E64C8AD}" name="Taxable Income" dataDxfId="5"/>
    <tableColumn id="6" xr3:uid="{466F63C4-22A2-4EB5-9BF2-6D763F380D5F}" name="Taxes to Be Paid" dataDxfId="4"/>
    <tableColumn id="7" xr3:uid="{55A6ED6C-8068-46DB-A214-B8629BD41656}" name="Tax Rate:" dataDxfId="3"/>
    <tableColumn id="8" xr3:uid="{73C1BCE7-11EC-4CEB-B542-9522E7D1D944}" name="0.07" dataDxfId="2"/>
    <tableColumn id="9" xr3:uid="{CD344188-39F2-41F0-863D-726FD2E0D1C4}" name="Hell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89"/>
  <sheetViews>
    <sheetView tabSelected="1" topLeftCell="A4" workbookViewId="0">
      <selection activeCell="B34" sqref="B34"/>
    </sheetView>
  </sheetViews>
  <sheetFormatPr defaultColWidth="14.42578125" defaultRowHeight="15" customHeight="1" x14ac:dyDescent="0.25"/>
  <cols>
    <col min="1" max="1" width="16.85546875" customWidth="1"/>
    <col min="2" max="2" width="9.140625" customWidth="1"/>
    <col min="3" max="3" width="14.42578125" customWidth="1"/>
    <col min="4" max="4" width="16.28515625" customWidth="1"/>
    <col min="5" max="5" width="16.42578125" customWidth="1"/>
    <col min="6" max="6" width="14.28515625" customWidth="1"/>
    <col min="7" max="7" width="17.42578125" customWidth="1"/>
    <col min="8" max="8" width="10.85546875" customWidth="1"/>
    <col min="9" max="26" width="8.7109375" customWidth="1"/>
  </cols>
  <sheetData>
    <row r="1" spans="1:8" ht="14.25" customHeight="1" x14ac:dyDescent="0.25">
      <c r="A1" s="10" t="s">
        <v>2</v>
      </c>
      <c r="B1" s="11" t="s">
        <v>0</v>
      </c>
      <c r="C1" s="11" t="s">
        <v>3</v>
      </c>
      <c r="D1" s="11" t="s">
        <v>4</v>
      </c>
      <c r="E1" s="11" t="s">
        <v>5</v>
      </c>
      <c r="F1" s="11" t="s">
        <v>6</v>
      </c>
      <c r="G1" s="12" t="s">
        <v>7</v>
      </c>
      <c r="H1" s="11" t="s">
        <v>31</v>
      </c>
    </row>
    <row r="2" spans="1:8" ht="14.25" customHeight="1" x14ac:dyDescent="0.25">
      <c r="A2" s="19">
        <v>1</v>
      </c>
      <c r="B2" s="1" t="s">
        <v>8</v>
      </c>
      <c r="C2" s="3">
        <v>78</v>
      </c>
      <c r="D2" s="3">
        <v>85</v>
      </c>
      <c r="E2" s="3">
        <v>74</v>
      </c>
      <c r="F2" s="3">
        <f>SUM(C2:E2)</f>
        <v>237</v>
      </c>
      <c r="G2" s="8">
        <f>AVERAGE(C2:E2)</f>
        <v>79</v>
      </c>
      <c r="H2" s="18">
        <f t="shared" ref="H2:H21" si="0">RANK(G2, $G$2:$G$21, 0)</f>
        <v>11</v>
      </c>
    </row>
    <row r="3" spans="1:8" ht="14.25" customHeight="1" x14ac:dyDescent="0.25">
      <c r="A3" s="19">
        <v>2</v>
      </c>
      <c r="B3" s="1" t="s">
        <v>9</v>
      </c>
      <c r="C3" s="3">
        <v>90</v>
      </c>
      <c r="D3" s="3">
        <v>88</v>
      </c>
      <c r="E3" s="3">
        <v>92</v>
      </c>
      <c r="F3" s="3">
        <f t="shared" ref="F3:F21" si="1">SUM(C3:E3)</f>
        <v>270</v>
      </c>
      <c r="G3" s="8">
        <f t="shared" ref="G3:G21" si="2">AVERAGE(C3:E3)</f>
        <v>90</v>
      </c>
      <c r="H3" s="4">
        <f t="shared" si="0"/>
        <v>5</v>
      </c>
    </row>
    <row r="4" spans="1:8" ht="14.25" customHeight="1" x14ac:dyDescent="0.25">
      <c r="A4" s="19">
        <v>3</v>
      </c>
      <c r="B4" s="1" t="s">
        <v>1</v>
      </c>
      <c r="C4" s="3">
        <v>65</v>
      </c>
      <c r="D4" s="3">
        <v>70</v>
      </c>
      <c r="E4" s="3">
        <v>68</v>
      </c>
      <c r="F4" s="3">
        <f t="shared" si="1"/>
        <v>203</v>
      </c>
      <c r="G4" s="8">
        <f t="shared" si="2"/>
        <v>67.666666666666671</v>
      </c>
      <c r="H4" s="4">
        <f t="shared" si="0"/>
        <v>16</v>
      </c>
    </row>
    <row r="5" spans="1:8" ht="14.25" customHeight="1" x14ac:dyDescent="0.25">
      <c r="A5" s="19">
        <v>4</v>
      </c>
      <c r="B5" s="1" t="s">
        <v>10</v>
      </c>
      <c r="C5" s="3">
        <v>88</v>
      </c>
      <c r="D5" s="3">
        <v>94</v>
      </c>
      <c r="E5" s="3">
        <v>90</v>
      </c>
      <c r="F5" s="3">
        <f t="shared" si="1"/>
        <v>272</v>
      </c>
      <c r="G5" s="8">
        <f t="shared" si="2"/>
        <v>90.666666666666671</v>
      </c>
      <c r="H5" s="4">
        <f t="shared" si="0"/>
        <v>4</v>
      </c>
    </row>
    <row r="6" spans="1:8" ht="14.25" customHeight="1" x14ac:dyDescent="0.25">
      <c r="A6" s="19">
        <v>5</v>
      </c>
      <c r="B6" s="1" t="s">
        <v>11</v>
      </c>
      <c r="C6" s="3">
        <v>55</v>
      </c>
      <c r="D6" s="3">
        <v>60</v>
      </c>
      <c r="E6" s="3">
        <v>58</v>
      </c>
      <c r="F6" s="3">
        <f t="shared" si="1"/>
        <v>173</v>
      </c>
      <c r="G6" s="8">
        <f t="shared" si="2"/>
        <v>57.666666666666664</v>
      </c>
      <c r="H6" s="4">
        <f t="shared" si="0"/>
        <v>20</v>
      </c>
    </row>
    <row r="7" spans="1:8" ht="14.25" customHeight="1" x14ac:dyDescent="0.25">
      <c r="A7" s="19">
        <v>6</v>
      </c>
      <c r="B7" s="1" t="s">
        <v>12</v>
      </c>
      <c r="C7" s="3">
        <v>72</v>
      </c>
      <c r="D7" s="3">
        <v>80</v>
      </c>
      <c r="E7" s="3">
        <v>76</v>
      </c>
      <c r="F7" s="3">
        <f t="shared" si="1"/>
        <v>228</v>
      </c>
      <c r="G7" s="8">
        <f t="shared" si="2"/>
        <v>76</v>
      </c>
      <c r="H7" s="4">
        <f t="shared" si="0"/>
        <v>13</v>
      </c>
    </row>
    <row r="8" spans="1:8" ht="14.25" customHeight="1" x14ac:dyDescent="0.25">
      <c r="A8" s="19">
        <v>7</v>
      </c>
      <c r="B8" s="1" t="s">
        <v>13</v>
      </c>
      <c r="C8" s="3">
        <v>81</v>
      </c>
      <c r="D8" s="3">
        <v>79</v>
      </c>
      <c r="E8" s="3">
        <v>83</v>
      </c>
      <c r="F8" s="3">
        <f t="shared" si="1"/>
        <v>243</v>
      </c>
      <c r="G8" s="8">
        <f t="shared" si="2"/>
        <v>81</v>
      </c>
      <c r="H8" s="4">
        <f t="shared" si="0"/>
        <v>10</v>
      </c>
    </row>
    <row r="9" spans="1:8" ht="14.25" customHeight="1" x14ac:dyDescent="0.25">
      <c r="A9" s="19">
        <v>8</v>
      </c>
      <c r="B9" s="1" t="s">
        <v>14</v>
      </c>
      <c r="C9" s="3">
        <v>95</v>
      </c>
      <c r="D9" s="3">
        <v>93</v>
      </c>
      <c r="E9" s="3">
        <v>97</v>
      </c>
      <c r="F9" s="3">
        <f t="shared" si="1"/>
        <v>285</v>
      </c>
      <c r="G9" s="8">
        <f t="shared" si="2"/>
        <v>95</v>
      </c>
      <c r="H9" s="4">
        <f t="shared" si="0"/>
        <v>1</v>
      </c>
    </row>
    <row r="10" spans="1:8" ht="14.25" customHeight="1" x14ac:dyDescent="0.25">
      <c r="A10" s="19">
        <v>9</v>
      </c>
      <c r="B10" s="1" t="s">
        <v>15</v>
      </c>
      <c r="C10" s="3">
        <v>62</v>
      </c>
      <c r="D10" s="3">
        <v>68</v>
      </c>
      <c r="E10" s="3">
        <v>71</v>
      </c>
      <c r="F10" s="3">
        <f t="shared" si="1"/>
        <v>201</v>
      </c>
      <c r="G10" s="8">
        <f t="shared" si="2"/>
        <v>67</v>
      </c>
      <c r="H10" s="4">
        <f t="shared" si="0"/>
        <v>18</v>
      </c>
    </row>
    <row r="11" spans="1:8" ht="14.25" customHeight="1" x14ac:dyDescent="0.25">
      <c r="A11" s="19">
        <v>10</v>
      </c>
      <c r="B11" s="1" t="s">
        <v>16</v>
      </c>
      <c r="C11" s="3">
        <v>84</v>
      </c>
      <c r="D11" s="3">
        <v>87</v>
      </c>
      <c r="E11" s="3">
        <v>82</v>
      </c>
      <c r="F11" s="3">
        <f t="shared" si="1"/>
        <v>253</v>
      </c>
      <c r="G11" s="8">
        <f t="shared" si="2"/>
        <v>84.333333333333329</v>
      </c>
      <c r="H11" s="4">
        <f t="shared" si="0"/>
        <v>8</v>
      </c>
    </row>
    <row r="12" spans="1:8" ht="14.25" customHeight="1" x14ac:dyDescent="0.25">
      <c r="A12" s="19">
        <v>11</v>
      </c>
      <c r="B12" s="1" t="s">
        <v>17</v>
      </c>
      <c r="C12" s="3">
        <v>77</v>
      </c>
      <c r="D12" s="3">
        <v>73</v>
      </c>
      <c r="E12" s="3">
        <v>80</v>
      </c>
      <c r="F12" s="3">
        <f t="shared" si="1"/>
        <v>230</v>
      </c>
      <c r="G12" s="8">
        <f t="shared" si="2"/>
        <v>76.666666666666671</v>
      </c>
      <c r="H12" s="4">
        <f t="shared" si="0"/>
        <v>12</v>
      </c>
    </row>
    <row r="13" spans="1:8" ht="14.25" customHeight="1" x14ac:dyDescent="0.25">
      <c r="A13" s="19">
        <v>12</v>
      </c>
      <c r="B13" s="1" t="s">
        <v>18</v>
      </c>
      <c r="C13" s="3">
        <v>91</v>
      </c>
      <c r="D13" s="3">
        <v>89</v>
      </c>
      <c r="E13" s="3">
        <v>94</v>
      </c>
      <c r="F13" s="3">
        <f t="shared" si="1"/>
        <v>274</v>
      </c>
      <c r="G13" s="8">
        <f t="shared" si="2"/>
        <v>91.333333333333329</v>
      </c>
      <c r="H13" s="4">
        <f t="shared" si="0"/>
        <v>3</v>
      </c>
    </row>
    <row r="14" spans="1:8" ht="14.25" customHeight="1" x14ac:dyDescent="0.25">
      <c r="A14" s="19">
        <v>13</v>
      </c>
      <c r="B14" s="1" t="s">
        <v>19</v>
      </c>
      <c r="C14" s="3">
        <v>68</v>
      </c>
      <c r="D14" s="3">
        <v>64</v>
      </c>
      <c r="E14" s="3">
        <v>70</v>
      </c>
      <c r="F14" s="3">
        <f t="shared" si="1"/>
        <v>202</v>
      </c>
      <c r="G14" s="8">
        <f t="shared" si="2"/>
        <v>67.333333333333329</v>
      </c>
      <c r="H14" s="4">
        <f t="shared" si="0"/>
        <v>17</v>
      </c>
    </row>
    <row r="15" spans="1:8" ht="14.25" customHeight="1" x14ac:dyDescent="0.25">
      <c r="A15" s="19">
        <v>14</v>
      </c>
      <c r="B15" s="1" t="s">
        <v>20</v>
      </c>
      <c r="C15" s="3">
        <v>82</v>
      </c>
      <c r="D15" s="3">
        <v>78</v>
      </c>
      <c r="E15" s="3">
        <v>85</v>
      </c>
      <c r="F15" s="3">
        <f t="shared" si="1"/>
        <v>245</v>
      </c>
      <c r="G15" s="8">
        <f t="shared" si="2"/>
        <v>81.666666666666671</v>
      </c>
      <c r="H15" s="4">
        <f t="shared" si="0"/>
        <v>9</v>
      </c>
    </row>
    <row r="16" spans="1:8" ht="14.25" customHeight="1" x14ac:dyDescent="0.25">
      <c r="A16" s="19">
        <v>15</v>
      </c>
      <c r="B16" s="1" t="s">
        <v>21</v>
      </c>
      <c r="C16" s="3">
        <v>59</v>
      </c>
      <c r="D16" s="3">
        <v>62</v>
      </c>
      <c r="E16" s="3">
        <v>55</v>
      </c>
      <c r="F16" s="3">
        <f t="shared" si="1"/>
        <v>176</v>
      </c>
      <c r="G16" s="8">
        <f t="shared" si="2"/>
        <v>58.666666666666664</v>
      </c>
      <c r="H16" s="4">
        <f t="shared" si="0"/>
        <v>19</v>
      </c>
    </row>
    <row r="17" spans="1:8" ht="14.25" customHeight="1" x14ac:dyDescent="0.25">
      <c r="A17" s="19">
        <v>16</v>
      </c>
      <c r="B17" s="1" t="s">
        <v>22</v>
      </c>
      <c r="C17" s="3">
        <v>93</v>
      </c>
      <c r="D17" s="3">
        <v>95</v>
      </c>
      <c r="E17" s="3">
        <v>90</v>
      </c>
      <c r="F17" s="3">
        <f t="shared" si="1"/>
        <v>278</v>
      </c>
      <c r="G17" s="8">
        <f t="shared" si="2"/>
        <v>92.666666666666671</v>
      </c>
      <c r="H17" s="4">
        <f t="shared" si="0"/>
        <v>2</v>
      </c>
    </row>
    <row r="18" spans="1:8" ht="14.25" customHeight="1" x14ac:dyDescent="0.25">
      <c r="A18" s="19">
        <v>17</v>
      </c>
      <c r="B18" s="1" t="s">
        <v>23</v>
      </c>
      <c r="C18" s="3">
        <v>74</v>
      </c>
      <c r="D18" s="3">
        <v>72</v>
      </c>
      <c r="E18" s="3">
        <v>79</v>
      </c>
      <c r="F18" s="3">
        <f t="shared" si="1"/>
        <v>225</v>
      </c>
      <c r="G18" s="8">
        <f t="shared" si="2"/>
        <v>75</v>
      </c>
      <c r="H18" s="4">
        <f t="shared" si="0"/>
        <v>14</v>
      </c>
    </row>
    <row r="19" spans="1:8" ht="14.25" customHeight="1" x14ac:dyDescent="0.25">
      <c r="A19" s="19">
        <v>18</v>
      </c>
      <c r="B19" s="1" t="s">
        <v>24</v>
      </c>
      <c r="C19" s="3">
        <v>87</v>
      </c>
      <c r="D19" s="3">
        <v>90</v>
      </c>
      <c r="E19" s="3">
        <v>84</v>
      </c>
      <c r="F19" s="3">
        <f t="shared" si="1"/>
        <v>261</v>
      </c>
      <c r="G19" s="8">
        <f t="shared" si="2"/>
        <v>87</v>
      </c>
      <c r="H19" s="4">
        <f t="shared" si="0"/>
        <v>7</v>
      </c>
    </row>
    <row r="20" spans="1:8" ht="14.25" customHeight="1" x14ac:dyDescent="0.25">
      <c r="A20" s="19">
        <v>19</v>
      </c>
      <c r="B20" s="1" t="s">
        <v>25</v>
      </c>
      <c r="C20" s="3">
        <v>66</v>
      </c>
      <c r="D20" s="3">
        <v>71</v>
      </c>
      <c r="E20" s="3">
        <v>69</v>
      </c>
      <c r="F20" s="3">
        <f t="shared" si="1"/>
        <v>206</v>
      </c>
      <c r="G20" s="8">
        <f t="shared" si="2"/>
        <v>68.666666666666671</v>
      </c>
      <c r="H20" s="4">
        <f t="shared" si="0"/>
        <v>15</v>
      </c>
    </row>
    <row r="21" spans="1:8" ht="14.25" customHeight="1" x14ac:dyDescent="0.25">
      <c r="A21" s="19">
        <v>20</v>
      </c>
      <c r="B21" s="1" t="s">
        <v>26</v>
      </c>
      <c r="C21" s="3">
        <v>89</v>
      </c>
      <c r="D21" s="3">
        <v>86</v>
      </c>
      <c r="E21" s="3">
        <v>91</v>
      </c>
      <c r="F21" s="3">
        <f t="shared" si="1"/>
        <v>266</v>
      </c>
      <c r="G21" s="8">
        <f t="shared" si="2"/>
        <v>88.666666666666671</v>
      </c>
      <c r="H21" s="4">
        <f t="shared" si="0"/>
        <v>6</v>
      </c>
    </row>
    <row r="22" spans="1:8" ht="14.25" customHeight="1" x14ac:dyDescent="0.25">
      <c r="A22" s="6"/>
      <c r="B22" s="2"/>
      <c r="C22" s="2"/>
      <c r="D22" s="2"/>
      <c r="E22" s="2"/>
      <c r="F22" s="2"/>
      <c r="G22" s="9"/>
      <c r="H22" s="2"/>
    </row>
    <row r="23" spans="1:8" ht="14.25" customHeight="1" x14ac:dyDescent="0.25">
      <c r="A23" s="7" t="s">
        <v>27</v>
      </c>
      <c r="B23" s="4">
        <f>COUNT(A2:A21)</f>
        <v>20</v>
      </c>
      <c r="C23" s="2"/>
      <c r="D23" s="2"/>
      <c r="E23" s="2"/>
      <c r="F23" s="2"/>
      <c r="G23" s="9"/>
      <c r="H23" s="2"/>
    </row>
    <row r="24" spans="1:8" ht="14.25" customHeight="1" x14ac:dyDescent="0.25">
      <c r="A24" s="7" t="s">
        <v>28</v>
      </c>
      <c r="B24" s="4">
        <f>AVERAGE(G2:G21)</f>
        <v>78.800000000000026</v>
      </c>
      <c r="C24" s="2"/>
      <c r="D24" s="2"/>
      <c r="E24" s="2"/>
      <c r="F24" s="2"/>
      <c r="G24" s="9"/>
      <c r="H24" s="2"/>
    </row>
    <row r="25" spans="1:8" ht="14.25" customHeight="1" x14ac:dyDescent="0.25">
      <c r="A25" s="7" t="s">
        <v>29</v>
      </c>
      <c r="B25" s="4">
        <f>MAX(F2:F21)</f>
        <v>285</v>
      </c>
      <c r="C25" s="2"/>
      <c r="D25" s="2"/>
      <c r="E25" s="2"/>
      <c r="F25" s="2"/>
      <c r="G25" s="9"/>
      <c r="H25" s="2"/>
    </row>
    <row r="26" spans="1:8" ht="14.25" customHeight="1" x14ac:dyDescent="0.25">
      <c r="A26" s="13" t="s">
        <v>30</v>
      </c>
      <c r="B26" s="14">
        <f>MIN(F2:F21)</f>
        <v>173</v>
      </c>
      <c r="C26" s="15"/>
      <c r="D26" s="15"/>
      <c r="E26" s="15"/>
      <c r="F26" s="15"/>
      <c r="G26" s="16"/>
      <c r="H26" s="2"/>
    </row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57EE-2DC9-4BD1-853B-2643F3787186}">
  <dimension ref="A1:I92"/>
  <sheetViews>
    <sheetView topLeftCell="A63" zoomScaleNormal="100" workbookViewId="0">
      <selection activeCell="C98" sqref="C98"/>
    </sheetView>
  </sheetViews>
  <sheetFormatPr defaultRowHeight="15" x14ac:dyDescent="0.25"/>
  <cols>
    <col min="1" max="1" width="15.28515625" customWidth="1"/>
    <col min="2" max="2" width="10.140625" bestFit="1" customWidth="1"/>
    <col min="3" max="3" width="15.85546875" customWidth="1"/>
    <col min="4" max="4" width="17.28515625" customWidth="1"/>
    <col min="5" max="5" width="18.28515625" customWidth="1"/>
    <col min="6" max="6" width="19" customWidth="1"/>
    <col min="7" max="7" width="12" customWidth="1"/>
    <col min="8" max="8" width="7.140625" customWidth="1"/>
    <col min="9" max="9" width="8.140625" customWidth="1"/>
  </cols>
  <sheetData>
    <row r="1" spans="1:9" s="20" customFormat="1" ht="16.5" customHeight="1" x14ac:dyDescent="0.25">
      <c r="A1" s="21" t="s">
        <v>32</v>
      </c>
      <c r="B1" s="22" t="s">
        <v>0</v>
      </c>
      <c r="C1" s="22" t="s">
        <v>33</v>
      </c>
      <c r="D1" s="22" t="s">
        <v>34</v>
      </c>
      <c r="E1" s="22" t="s">
        <v>35</v>
      </c>
      <c r="F1" s="22" t="s">
        <v>36</v>
      </c>
      <c r="G1" s="22" t="s">
        <v>37</v>
      </c>
      <c r="H1" s="23" t="s">
        <v>114</v>
      </c>
      <c r="I1" s="24" t="s">
        <v>38</v>
      </c>
    </row>
    <row r="2" spans="1:9" ht="16.5" x14ac:dyDescent="0.25">
      <c r="A2" s="5">
        <v>1</v>
      </c>
      <c r="B2" s="1" t="s">
        <v>44</v>
      </c>
      <c r="C2" s="25">
        <v>14.25</v>
      </c>
      <c r="D2" s="26">
        <v>158</v>
      </c>
      <c r="E2" s="25">
        <v>2251.5</v>
      </c>
      <c r="F2" s="25">
        <v>157.61000000000001</v>
      </c>
      <c r="G2" s="27"/>
      <c r="H2" s="27"/>
      <c r="I2" s="28"/>
    </row>
    <row r="3" spans="1:9" ht="16.5" x14ac:dyDescent="0.25">
      <c r="A3" s="5">
        <v>2</v>
      </c>
      <c r="B3" s="1" t="s">
        <v>45</v>
      </c>
      <c r="C3" s="25">
        <v>15.5</v>
      </c>
      <c r="D3" s="26">
        <v>160</v>
      </c>
      <c r="E3" s="25">
        <v>2480</v>
      </c>
      <c r="F3" s="25">
        <v>173.6</v>
      </c>
      <c r="G3" s="27"/>
      <c r="H3" s="27"/>
      <c r="I3" s="28"/>
    </row>
    <row r="4" spans="1:9" ht="16.5" x14ac:dyDescent="0.25">
      <c r="A4" s="5">
        <v>3</v>
      </c>
      <c r="B4" s="1" t="s">
        <v>46</v>
      </c>
      <c r="C4" s="25">
        <v>16</v>
      </c>
      <c r="D4" s="26">
        <v>125</v>
      </c>
      <c r="E4" s="25">
        <v>2000</v>
      </c>
      <c r="F4" s="25">
        <v>140</v>
      </c>
      <c r="G4" s="27"/>
      <c r="H4" s="27"/>
      <c r="I4" s="28"/>
    </row>
    <row r="5" spans="1:9" ht="16.5" x14ac:dyDescent="0.25">
      <c r="A5" s="5">
        <v>4</v>
      </c>
      <c r="B5" s="1" t="s">
        <v>47</v>
      </c>
      <c r="C5" s="25">
        <v>13.75</v>
      </c>
      <c r="D5" s="26">
        <v>165</v>
      </c>
      <c r="E5" s="25">
        <v>2268.75</v>
      </c>
      <c r="F5" s="25">
        <v>158.81</v>
      </c>
      <c r="G5" s="27"/>
      <c r="H5" s="27"/>
      <c r="I5" s="28"/>
    </row>
    <row r="6" spans="1:9" ht="16.5" x14ac:dyDescent="0.25">
      <c r="A6" s="5">
        <v>5</v>
      </c>
      <c r="B6" s="1" t="s">
        <v>48</v>
      </c>
      <c r="C6" s="25">
        <v>15.5</v>
      </c>
      <c r="D6" s="26">
        <v>144</v>
      </c>
      <c r="E6" s="25">
        <v>2232</v>
      </c>
      <c r="F6" s="25">
        <v>156.24</v>
      </c>
      <c r="G6" s="27"/>
      <c r="H6" s="27"/>
      <c r="I6" s="28"/>
    </row>
    <row r="7" spans="1:9" ht="16.5" customHeight="1" x14ac:dyDescent="0.25">
      <c r="A7" s="5">
        <v>6</v>
      </c>
      <c r="B7" s="1" t="s">
        <v>49</v>
      </c>
      <c r="C7" s="25">
        <v>17</v>
      </c>
      <c r="D7" s="26">
        <v>174</v>
      </c>
      <c r="E7" s="25">
        <v>2958</v>
      </c>
      <c r="F7" s="25">
        <v>207.06</v>
      </c>
      <c r="G7" s="27"/>
      <c r="H7" s="27"/>
      <c r="I7" s="28"/>
    </row>
    <row r="8" spans="1:9" ht="16.5" x14ac:dyDescent="0.25">
      <c r="A8" s="5">
        <v>7</v>
      </c>
      <c r="B8" s="1" t="s">
        <v>50</v>
      </c>
      <c r="C8" s="25">
        <v>13.75</v>
      </c>
      <c r="D8" s="26">
        <v>161</v>
      </c>
      <c r="E8" s="25">
        <v>2213.75</v>
      </c>
      <c r="F8" s="25">
        <v>154.96</v>
      </c>
      <c r="G8" s="27"/>
      <c r="H8" s="27"/>
      <c r="I8" s="28"/>
    </row>
    <row r="9" spans="1:9" ht="16.5" x14ac:dyDescent="0.25">
      <c r="A9" s="5">
        <v>8</v>
      </c>
      <c r="B9" s="1" t="s">
        <v>51</v>
      </c>
      <c r="C9" s="25">
        <v>15.5</v>
      </c>
      <c r="D9" s="26">
        <v>69</v>
      </c>
      <c r="E9" s="25">
        <v>1069.5</v>
      </c>
      <c r="F9" s="25">
        <v>74.87</v>
      </c>
      <c r="G9" s="27"/>
      <c r="H9" s="27"/>
      <c r="I9" s="28"/>
    </row>
    <row r="10" spans="1:9" ht="16.5" x14ac:dyDescent="0.25">
      <c r="A10" s="5">
        <v>9</v>
      </c>
      <c r="B10" s="1" t="s">
        <v>52</v>
      </c>
      <c r="C10" s="25">
        <v>10.75</v>
      </c>
      <c r="D10" s="26">
        <v>85</v>
      </c>
      <c r="E10" s="25">
        <v>913.75</v>
      </c>
      <c r="F10" s="25">
        <v>63.96</v>
      </c>
      <c r="G10" s="27"/>
      <c r="H10" s="27"/>
      <c r="I10" s="28"/>
    </row>
    <row r="11" spans="1:9" ht="16.5" x14ac:dyDescent="0.25">
      <c r="A11" s="5">
        <v>10</v>
      </c>
      <c r="B11" s="1" t="s">
        <v>53</v>
      </c>
      <c r="C11" s="25">
        <v>15.5</v>
      </c>
      <c r="D11" s="26">
        <v>117</v>
      </c>
      <c r="E11" s="25">
        <v>1813.5</v>
      </c>
      <c r="F11" s="25">
        <v>126.95</v>
      </c>
      <c r="G11" s="27"/>
      <c r="H11" s="27"/>
      <c r="I11" s="28"/>
    </row>
    <row r="12" spans="1:9" ht="16.5" x14ac:dyDescent="0.25">
      <c r="A12" s="5">
        <v>11</v>
      </c>
      <c r="B12" s="1" t="s">
        <v>54</v>
      </c>
      <c r="C12" s="25">
        <v>12</v>
      </c>
      <c r="D12" s="26">
        <v>160</v>
      </c>
      <c r="E12" s="25">
        <v>1920</v>
      </c>
      <c r="F12" s="25">
        <v>134.4</v>
      </c>
      <c r="G12" s="27"/>
      <c r="H12" s="27"/>
      <c r="I12" s="28"/>
    </row>
    <row r="13" spans="1:9" ht="16.5" x14ac:dyDescent="0.25">
      <c r="A13" s="5">
        <v>12</v>
      </c>
      <c r="B13" s="1" t="s">
        <v>55</v>
      </c>
      <c r="C13" s="25">
        <v>15.5</v>
      </c>
      <c r="D13" s="26">
        <v>152</v>
      </c>
      <c r="E13" s="25">
        <v>2356</v>
      </c>
      <c r="F13" s="25">
        <v>164.92</v>
      </c>
      <c r="G13" s="27"/>
      <c r="H13" s="27"/>
      <c r="I13" s="28"/>
    </row>
    <row r="14" spans="1:9" ht="16.5" customHeight="1" x14ac:dyDescent="0.25">
      <c r="A14" s="5">
        <v>13</v>
      </c>
      <c r="B14" s="1" t="s">
        <v>56</v>
      </c>
      <c r="C14" s="25">
        <v>11.75</v>
      </c>
      <c r="D14" s="26">
        <v>129</v>
      </c>
      <c r="E14" s="25">
        <v>1515.75</v>
      </c>
      <c r="F14" s="25">
        <v>106.1</v>
      </c>
      <c r="G14" s="27"/>
      <c r="H14" s="27"/>
      <c r="I14" s="28"/>
    </row>
    <row r="15" spans="1:9" ht="16.5" x14ac:dyDescent="0.25">
      <c r="A15" s="5">
        <v>14</v>
      </c>
      <c r="B15" s="1" t="s">
        <v>57</v>
      </c>
      <c r="C15" s="25">
        <v>12</v>
      </c>
      <c r="D15" s="26">
        <v>74</v>
      </c>
      <c r="E15" s="25">
        <v>888</v>
      </c>
      <c r="F15" s="25">
        <v>62.16</v>
      </c>
      <c r="G15" s="27"/>
      <c r="H15" s="27"/>
      <c r="I15" s="28"/>
    </row>
    <row r="16" spans="1:9" ht="16.5" x14ac:dyDescent="0.25">
      <c r="A16" s="5">
        <v>15</v>
      </c>
      <c r="B16" s="1" t="s">
        <v>58</v>
      </c>
      <c r="C16" s="25">
        <v>19</v>
      </c>
      <c r="D16" s="26">
        <v>111</v>
      </c>
      <c r="E16" s="25">
        <v>2109</v>
      </c>
      <c r="F16" s="25">
        <v>147.63</v>
      </c>
      <c r="G16" s="27"/>
      <c r="H16" s="27"/>
      <c r="I16" s="28"/>
    </row>
    <row r="17" spans="1:9" ht="16.5" x14ac:dyDescent="0.25">
      <c r="A17" s="5">
        <v>16</v>
      </c>
      <c r="B17" s="1" t="s">
        <v>59</v>
      </c>
      <c r="C17" s="25">
        <v>17</v>
      </c>
      <c r="D17" s="26">
        <v>132</v>
      </c>
      <c r="E17" s="25">
        <v>2244</v>
      </c>
      <c r="F17" s="25">
        <v>157.08000000000001</v>
      </c>
      <c r="G17" s="27"/>
      <c r="H17" s="27"/>
      <c r="I17" s="28"/>
    </row>
    <row r="18" spans="1:9" ht="16.5" x14ac:dyDescent="0.25">
      <c r="A18" s="5">
        <v>17</v>
      </c>
      <c r="B18" s="1" t="s">
        <v>60</v>
      </c>
      <c r="C18" s="25">
        <v>19</v>
      </c>
      <c r="D18" s="26">
        <v>168</v>
      </c>
      <c r="E18" s="25">
        <v>3192</v>
      </c>
      <c r="F18" s="25">
        <v>223.44</v>
      </c>
      <c r="G18" s="27"/>
      <c r="H18" s="27"/>
      <c r="I18" s="28"/>
    </row>
    <row r="19" spans="1:9" ht="16.5" x14ac:dyDescent="0.25">
      <c r="A19" s="5">
        <v>18</v>
      </c>
      <c r="B19" s="1" t="s">
        <v>61</v>
      </c>
      <c r="C19" s="25">
        <v>16</v>
      </c>
      <c r="D19" s="26">
        <v>187</v>
      </c>
      <c r="E19" s="25">
        <v>2992</v>
      </c>
      <c r="F19" s="25">
        <v>209.44</v>
      </c>
      <c r="G19" s="27"/>
      <c r="H19" s="27"/>
      <c r="I19" s="28"/>
    </row>
    <row r="20" spans="1:9" ht="16.5" x14ac:dyDescent="0.25">
      <c r="A20" s="5">
        <v>19</v>
      </c>
      <c r="B20" s="1" t="s">
        <v>62</v>
      </c>
      <c r="C20" s="25">
        <v>18</v>
      </c>
      <c r="D20" s="26">
        <v>70</v>
      </c>
      <c r="E20" s="25">
        <v>1260</v>
      </c>
      <c r="F20" s="25">
        <v>88.2</v>
      </c>
      <c r="G20" s="27"/>
      <c r="H20" s="27"/>
      <c r="I20" s="28"/>
    </row>
    <row r="21" spans="1:9" ht="16.5" x14ac:dyDescent="0.25">
      <c r="A21" s="5">
        <v>20</v>
      </c>
      <c r="B21" s="1" t="s">
        <v>63</v>
      </c>
      <c r="C21" s="25">
        <v>16.5</v>
      </c>
      <c r="D21" s="26">
        <v>138</v>
      </c>
      <c r="E21" s="25">
        <v>2277</v>
      </c>
      <c r="F21" s="25">
        <v>159.38999999999999</v>
      </c>
      <c r="G21" s="27"/>
      <c r="H21" s="27"/>
      <c r="I21" s="28"/>
    </row>
    <row r="22" spans="1:9" ht="16.5" x14ac:dyDescent="0.25">
      <c r="A22" s="5">
        <v>21</v>
      </c>
      <c r="B22" s="1" t="s">
        <v>64</v>
      </c>
      <c r="C22" s="25">
        <v>13</v>
      </c>
      <c r="D22" s="26">
        <v>72</v>
      </c>
      <c r="E22" s="25">
        <v>936</v>
      </c>
      <c r="F22" s="25">
        <v>65.52</v>
      </c>
      <c r="G22" s="27"/>
      <c r="H22" s="27"/>
      <c r="I22" s="28"/>
    </row>
    <row r="23" spans="1:9" ht="16.5" x14ac:dyDescent="0.25">
      <c r="A23" s="5">
        <v>22</v>
      </c>
      <c r="B23" s="1" t="s">
        <v>65</v>
      </c>
      <c r="C23" s="25">
        <v>12</v>
      </c>
      <c r="D23" s="26">
        <v>130</v>
      </c>
      <c r="E23" s="25">
        <v>1560</v>
      </c>
      <c r="F23" s="25">
        <v>109.2</v>
      </c>
      <c r="G23" s="27"/>
      <c r="H23" s="27"/>
      <c r="I23" s="28"/>
    </row>
    <row r="24" spans="1:9" ht="16.5" x14ac:dyDescent="0.25">
      <c r="A24" s="5">
        <v>23</v>
      </c>
      <c r="B24" s="1" t="s">
        <v>66</v>
      </c>
      <c r="C24" s="25">
        <v>18</v>
      </c>
      <c r="D24" s="26">
        <v>208</v>
      </c>
      <c r="E24" s="25">
        <v>3744</v>
      </c>
      <c r="F24" s="25">
        <v>262.08</v>
      </c>
      <c r="G24" s="27"/>
      <c r="H24" s="27"/>
      <c r="I24" s="28"/>
    </row>
    <row r="25" spans="1:9" ht="16.5" x14ac:dyDescent="0.25">
      <c r="A25" s="5">
        <v>24</v>
      </c>
      <c r="B25" s="1" t="s">
        <v>67</v>
      </c>
      <c r="C25" s="25">
        <v>22</v>
      </c>
      <c r="D25" s="26">
        <v>97</v>
      </c>
      <c r="E25" s="25">
        <v>2134</v>
      </c>
      <c r="F25" s="25">
        <v>149.38</v>
      </c>
      <c r="G25" s="27"/>
      <c r="H25" s="27"/>
      <c r="I25" s="28"/>
    </row>
    <row r="26" spans="1:9" ht="16.5" x14ac:dyDescent="0.25">
      <c r="A26" s="5">
        <v>25</v>
      </c>
      <c r="B26" s="1" t="s">
        <v>68</v>
      </c>
      <c r="C26" s="25">
        <v>32</v>
      </c>
      <c r="D26" s="26">
        <v>199</v>
      </c>
      <c r="E26" s="25">
        <v>6368</v>
      </c>
      <c r="F26" s="25">
        <v>445.76</v>
      </c>
      <c r="G26" s="27"/>
      <c r="H26" s="27"/>
      <c r="I26" s="28"/>
    </row>
    <row r="27" spans="1:9" ht="16.5" x14ac:dyDescent="0.25">
      <c r="A27" s="5">
        <v>26</v>
      </c>
      <c r="B27" s="1" t="s">
        <v>69</v>
      </c>
      <c r="C27" s="25">
        <v>11</v>
      </c>
      <c r="D27" s="26">
        <v>160</v>
      </c>
      <c r="E27" s="25">
        <v>1760</v>
      </c>
      <c r="F27" s="25">
        <v>123.2</v>
      </c>
      <c r="G27" s="27"/>
      <c r="H27" s="27"/>
      <c r="I27" s="28"/>
    </row>
    <row r="28" spans="1:9" ht="16.5" x14ac:dyDescent="0.25">
      <c r="A28" s="5">
        <v>27</v>
      </c>
      <c r="B28" s="1" t="s">
        <v>70</v>
      </c>
      <c r="C28" s="25">
        <v>14</v>
      </c>
      <c r="D28" s="26">
        <v>156</v>
      </c>
      <c r="E28" s="25">
        <v>2184</v>
      </c>
      <c r="F28" s="25">
        <v>152.88</v>
      </c>
      <c r="G28" s="27"/>
      <c r="H28" s="27"/>
      <c r="I28" s="28"/>
    </row>
    <row r="29" spans="1:9" ht="16.5" x14ac:dyDescent="0.25">
      <c r="A29" s="5">
        <v>28</v>
      </c>
      <c r="B29" s="1" t="s">
        <v>71</v>
      </c>
      <c r="C29" s="25">
        <v>15.5</v>
      </c>
      <c r="D29" s="26">
        <v>117</v>
      </c>
      <c r="E29" s="25">
        <v>1813.5</v>
      </c>
      <c r="F29" s="25">
        <v>126.95</v>
      </c>
      <c r="G29" s="27"/>
      <c r="H29" s="27"/>
      <c r="I29" s="28"/>
    </row>
    <row r="30" spans="1:9" ht="16.5" x14ac:dyDescent="0.25">
      <c r="A30" s="5">
        <v>29</v>
      </c>
      <c r="B30" s="1" t="s">
        <v>72</v>
      </c>
      <c r="C30" s="25">
        <v>15</v>
      </c>
      <c r="D30" s="26">
        <v>76</v>
      </c>
      <c r="E30" s="25">
        <v>1140</v>
      </c>
      <c r="F30" s="25">
        <v>79.8</v>
      </c>
      <c r="G30" s="27"/>
      <c r="H30" s="27"/>
      <c r="I30" s="28"/>
    </row>
    <row r="31" spans="1:9" ht="16.5" x14ac:dyDescent="0.25">
      <c r="A31" s="5">
        <v>30</v>
      </c>
      <c r="B31" s="1" t="s">
        <v>73</v>
      </c>
      <c r="C31" s="25">
        <v>12</v>
      </c>
      <c r="D31" s="26">
        <v>175</v>
      </c>
      <c r="E31" s="25">
        <v>2100</v>
      </c>
      <c r="F31" s="25">
        <v>147</v>
      </c>
      <c r="G31" s="27"/>
      <c r="H31" s="27"/>
      <c r="I31" s="28"/>
    </row>
    <row r="32" spans="1:9" ht="16.5" x14ac:dyDescent="0.25">
      <c r="A32" s="5">
        <v>31</v>
      </c>
      <c r="B32" s="1" t="s">
        <v>74</v>
      </c>
      <c r="C32" s="25">
        <v>15.5</v>
      </c>
      <c r="D32" s="26">
        <v>87</v>
      </c>
      <c r="E32" s="25">
        <v>1348.5</v>
      </c>
      <c r="F32" s="25">
        <v>94.4</v>
      </c>
      <c r="G32" s="27"/>
      <c r="H32" s="27"/>
      <c r="I32" s="28"/>
    </row>
    <row r="33" spans="1:9" ht="16.5" x14ac:dyDescent="0.25">
      <c r="A33" s="5">
        <v>32</v>
      </c>
      <c r="B33" s="1" t="s">
        <v>75</v>
      </c>
      <c r="C33" s="25">
        <v>11.75</v>
      </c>
      <c r="D33" s="26">
        <v>130</v>
      </c>
      <c r="E33" s="25">
        <v>1527.5</v>
      </c>
      <c r="F33" s="25">
        <v>106.93</v>
      </c>
      <c r="G33" s="27"/>
      <c r="H33" s="27"/>
      <c r="I33" s="28"/>
    </row>
    <row r="34" spans="1:9" ht="16.5" x14ac:dyDescent="0.25">
      <c r="A34" s="5">
        <v>33</v>
      </c>
      <c r="B34" s="1" t="s">
        <v>76</v>
      </c>
      <c r="C34" s="25">
        <v>12</v>
      </c>
      <c r="D34" s="26">
        <v>185</v>
      </c>
      <c r="E34" s="25">
        <v>2220</v>
      </c>
      <c r="F34" s="25">
        <v>155.4</v>
      </c>
      <c r="G34" s="27"/>
      <c r="H34" s="27"/>
      <c r="I34" s="28"/>
    </row>
    <row r="35" spans="1:9" ht="16.5" x14ac:dyDescent="0.25">
      <c r="A35" s="5">
        <v>34</v>
      </c>
      <c r="B35" s="1" t="s">
        <v>77</v>
      </c>
      <c r="C35" s="25">
        <v>19</v>
      </c>
      <c r="D35" s="26">
        <v>152</v>
      </c>
      <c r="E35" s="25">
        <v>2888</v>
      </c>
      <c r="F35" s="25">
        <v>202.16</v>
      </c>
      <c r="G35" s="27"/>
      <c r="H35" s="27"/>
      <c r="I35" s="28"/>
    </row>
    <row r="36" spans="1:9" ht="16.5" x14ac:dyDescent="0.25">
      <c r="A36" s="5">
        <v>35</v>
      </c>
      <c r="B36" s="1" t="s">
        <v>78</v>
      </c>
      <c r="C36" s="25">
        <v>17</v>
      </c>
      <c r="D36" s="26">
        <v>186</v>
      </c>
      <c r="E36" s="25">
        <v>3162</v>
      </c>
      <c r="F36" s="25">
        <v>221.34</v>
      </c>
      <c r="G36" s="27"/>
      <c r="H36" s="27"/>
      <c r="I36" s="28"/>
    </row>
    <row r="37" spans="1:9" ht="16.5" x14ac:dyDescent="0.25">
      <c r="A37" s="5">
        <v>36</v>
      </c>
      <c r="B37" s="1" t="s">
        <v>79</v>
      </c>
      <c r="C37" s="25">
        <v>19</v>
      </c>
      <c r="D37" s="26">
        <v>96</v>
      </c>
      <c r="E37" s="25">
        <v>1824</v>
      </c>
      <c r="F37" s="25">
        <v>127.68</v>
      </c>
      <c r="G37" s="27"/>
      <c r="H37" s="27"/>
      <c r="I37" s="28"/>
    </row>
    <row r="38" spans="1:9" ht="16.5" x14ac:dyDescent="0.25">
      <c r="A38" s="5">
        <v>37</v>
      </c>
      <c r="B38" s="1" t="s">
        <v>80</v>
      </c>
      <c r="C38" s="25">
        <v>16</v>
      </c>
      <c r="D38" s="26">
        <v>100</v>
      </c>
      <c r="E38" s="25">
        <v>1600</v>
      </c>
      <c r="F38" s="25">
        <v>112</v>
      </c>
      <c r="G38" s="27"/>
      <c r="H38" s="27"/>
      <c r="I38" s="28"/>
    </row>
    <row r="39" spans="1:9" ht="16.5" x14ac:dyDescent="0.25">
      <c r="A39" s="5">
        <v>38</v>
      </c>
      <c r="B39" s="1" t="s">
        <v>81</v>
      </c>
      <c r="C39" s="25">
        <v>18</v>
      </c>
      <c r="D39" s="26">
        <v>124</v>
      </c>
      <c r="E39" s="25">
        <v>2232</v>
      </c>
      <c r="F39" s="25">
        <v>156.24</v>
      </c>
      <c r="G39" s="27"/>
      <c r="H39" s="27"/>
      <c r="I39" s="28"/>
    </row>
    <row r="40" spans="1:9" ht="16.5" x14ac:dyDescent="0.25">
      <c r="A40" s="5">
        <v>39</v>
      </c>
      <c r="B40" s="1" t="s">
        <v>82</v>
      </c>
      <c r="C40" s="25">
        <v>15.5</v>
      </c>
      <c r="D40" s="26">
        <v>71</v>
      </c>
      <c r="E40" s="25">
        <v>1100.5</v>
      </c>
      <c r="F40" s="25">
        <v>77.040000000000006</v>
      </c>
      <c r="G40" s="27"/>
      <c r="H40" s="27"/>
      <c r="I40" s="28"/>
    </row>
    <row r="41" spans="1:9" ht="16.5" x14ac:dyDescent="0.25">
      <c r="A41" s="5">
        <v>40</v>
      </c>
      <c r="B41" s="1" t="s">
        <v>83</v>
      </c>
      <c r="C41" s="25">
        <v>14</v>
      </c>
      <c r="D41" s="26">
        <v>83</v>
      </c>
      <c r="E41" s="25">
        <v>1162</v>
      </c>
      <c r="F41" s="25">
        <v>81.34</v>
      </c>
      <c r="G41" s="27"/>
      <c r="H41" s="27"/>
      <c r="I41" s="28"/>
    </row>
    <row r="42" spans="1:9" ht="16.5" x14ac:dyDescent="0.25">
      <c r="A42" s="5">
        <v>41</v>
      </c>
      <c r="B42" s="1" t="s">
        <v>84</v>
      </c>
      <c r="C42" s="25">
        <v>12</v>
      </c>
      <c r="D42" s="26">
        <v>168</v>
      </c>
      <c r="E42" s="25">
        <v>2016</v>
      </c>
      <c r="F42" s="25">
        <v>141.12</v>
      </c>
      <c r="G42" s="27"/>
      <c r="H42" s="27"/>
      <c r="I42" s="28"/>
    </row>
    <row r="43" spans="1:9" ht="16.5" x14ac:dyDescent="0.25">
      <c r="A43" s="5">
        <v>42</v>
      </c>
      <c r="B43" s="1" t="s">
        <v>85</v>
      </c>
      <c r="C43" s="25">
        <v>11</v>
      </c>
      <c r="D43" s="26">
        <v>165</v>
      </c>
      <c r="E43" s="25">
        <v>1815</v>
      </c>
      <c r="F43" s="25">
        <v>127.05</v>
      </c>
      <c r="G43" s="27"/>
      <c r="H43" s="27"/>
      <c r="I43" s="28"/>
    </row>
    <row r="44" spans="1:9" ht="16.5" x14ac:dyDescent="0.25">
      <c r="A44" s="5">
        <v>43</v>
      </c>
      <c r="B44" s="1" t="s">
        <v>86</v>
      </c>
      <c r="C44" s="25">
        <v>12</v>
      </c>
      <c r="D44" s="26">
        <v>145</v>
      </c>
      <c r="E44" s="25">
        <v>1740</v>
      </c>
      <c r="F44" s="25">
        <v>121.8</v>
      </c>
      <c r="G44" s="27"/>
      <c r="H44" s="27"/>
      <c r="I44" s="28"/>
    </row>
    <row r="45" spans="1:9" ht="16.5" x14ac:dyDescent="0.25">
      <c r="A45" s="5">
        <v>44</v>
      </c>
      <c r="B45" s="1" t="s">
        <v>87</v>
      </c>
      <c r="C45" s="25">
        <v>15.5</v>
      </c>
      <c r="D45" s="26">
        <v>133</v>
      </c>
      <c r="E45" s="25">
        <v>2061.5</v>
      </c>
      <c r="F45" s="25">
        <v>144.31</v>
      </c>
      <c r="G45" s="27"/>
      <c r="H45" s="27"/>
      <c r="I45" s="28"/>
    </row>
    <row r="46" spans="1:9" ht="16.5" x14ac:dyDescent="0.25">
      <c r="A46" s="5">
        <v>45</v>
      </c>
      <c r="B46" s="1" t="s">
        <v>88</v>
      </c>
      <c r="C46" s="25">
        <v>11.75</v>
      </c>
      <c r="D46" s="26">
        <v>92</v>
      </c>
      <c r="E46" s="25">
        <v>1081</v>
      </c>
      <c r="F46" s="25">
        <v>75.67</v>
      </c>
      <c r="G46" s="27"/>
      <c r="H46" s="27"/>
      <c r="I46" s="28"/>
    </row>
    <row r="47" spans="1:9" ht="16.5" x14ac:dyDescent="0.25">
      <c r="A47" s="5">
        <v>46</v>
      </c>
      <c r="B47" s="1" t="s">
        <v>89</v>
      </c>
      <c r="C47" s="25">
        <v>12</v>
      </c>
      <c r="D47" s="26">
        <v>74</v>
      </c>
      <c r="E47" s="25">
        <v>888</v>
      </c>
      <c r="F47" s="25">
        <v>62.16</v>
      </c>
      <c r="G47" s="27"/>
      <c r="H47" s="27"/>
      <c r="I47" s="28"/>
    </row>
    <row r="48" spans="1:9" ht="16.5" x14ac:dyDescent="0.25">
      <c r="A48" s="5">
        <v>47</v>
      </c>
      <c r="B48" s="1" t="s">
        <v>90</v>
      </c>
      <c r="C48" s="25">
        <v>19</v>
      </c>
      <c r="D48" s="26">
        <v>201</v>
      </c>
      <c r="E48" s="25">
        <v>3819</v>
      </c>
      <c r="F48" s="25">
        <v>267.33</v>
      </c>
      <c r="G48" s="27"/>
      <c r="H48" s="27"/>
      <c r="I48" s="28"/>
    </row>
    <row r="49" spans="1:9" ht="16.5" x14ac:dyDescent="0.25">
      <c r="A49" s="5">
        <v>48</v>
      </c>
      <c r="B49" s="1" t="s">
        <v>91</v>
      </c>
      <c r="C49" s="25">
        <v>17</v>
      </c>
      <c r="D49" s="26">
        <v>112</v>
      </c>
      <c r="E49" s="25">
        <v>1904</v>
      </c>
      <c r="F49" s="25">
        <v>133.28</v>
      </c>
      <c r="G49" s="27"/>
      <c r="H49" s="27"/>
      <c r="I49" s="28"/>
    </row>
    <row r="50" spans="1:9" ht="16.5" x14ac:dyDescent="0.25">
      <c r="A50" s="5">
        <v>49</v>
      </c>
      <c r="B50" s="1" t="s">
        <v>92</v>
      </c>
      <c r="C50" s="25">
        <v>19</v>
      </c>
      <c r="D50" s="26">
        <v>166</v>
      </c>
      <c r="E50" s="25">
        <v>3154</v>
      </c>
      <c r="F50" s="25">
        <v>220.78</v>
      </c>
      <c r="G50" s="27"/>
      <c r="H50" s="27"/>
      <c r="I50" s="28"/>
    </row>
    <row r="51" spans="1:9" ht="16.5" x14ac:dyDescent="0.25">
      <c r="A51" s="5">
        <v>50</v>
      </c>
      <c r="B51" s="1" t="s">
        <v>93</v>
      </c>
      <c r="C51" s="25">
        <v>16</v>
      </c>
      <c r="D51" s="26">
        <v>160</v>
      </c>
      <c r="E51" s="25">
        <v>2560</v>
      </c>
      <c r="F51" s="25">
        <v>179.2</v>
      </c>
      <c r="G51" s="27"/>
      <c r="H51" s="27"/>
      <c r="I51" s="28"/>
    </row>
    <row r="52" spans="1:9" ht="16.5" x14ac:dyDescent="0.25">
      <c r="A52" s="5">
        <v>51</v>
      </c>
      <c r="B52" s="1" t="s">
        <v>94</v>
      </c>
      <c r="C52" s="25">
        <v>18</v>
      </c>
      <c r="D52" s="26">
        <v>117</v>
      </c>
      <c r="E52" s="25">
        <v>2106</v>
      </c>
      <c r="F52" s="25">
        <v>147.41999999999999</v>
      </c>
      <c r="G52" s="27"/>
      <c r="H52" s="27"/>
      <c r="I52" s="28"/>
    </row>
    <row r="53" spans="1:9" ht="16.5" x14ac:dyDescent="0.25">
      <c r="A53" s="5">
        <v>52</v>
      </c>
      <c r="B53" s="1" t="s">
        <v>95</v>
      </c>
      <c r="C53" s="25">
        <v>11.5</v>
      </c>
      <c r="D53" s="26">
        <v>152</v>
      </c>
      <c r="E53" s="25">
        <v>1748</v>
      </c>
      <c r="F53" s="25">
        <v>122.36</v>
      </c>
      <c r="G53" s="27"/>
      <c r="H53" s="27"/>
      <c r="I53" s="28"/>
    </row>
    <row r="54" spans="1:9" ht="16.5" x14ac:dyDescent="0.25">
      <c r="A54" s="5">
        <v>53</v>
      </c>
      <c r="B54" s="1" t="s">
        <v>96</v>
      </c>
      <c r="C54" s="25">
        <v>15.5</v>
      </c>
      <c r="D54" s="26">
        <v>129</v>
      </c>
      <c r="E54" s="25">
        <v>1999.5</v>
      </c>
      <c r="F54" s="25">
        <v>139.97</v>
      </c>
      <c r="G54" s="27"/>
      <c r="H54" s="27"/>
      <c r="I54" s="28"/>
    </row>
    <row r="55" spans="1:9" ht="16.5" x14ac:dyDescent="0.25">
      <c r="A55" s="5">
        <v>54</v>
      </c>
      <c r="B55" s="1" t="s">
        <v>97</v>
      </c>
      <c r="C55" s="25">
        <v>15.5</v>
      </c>
      <c r="D55" s="26">
        <v>74</v>
      </c>
      <c r="E55" s="25">
        <v>1147</v>
      </c>
      <c r="F55" s="25">
        <v>80.290000000000006</v>
      </c>
      <c r="G55" s="27"/>
      <c r="H55" s="27"/>
      <c r="I55" s="28"/>
    </row>
    <row r="56" spans="1:9" ht="17.25" customHeight="1" x14ac:dyDescent="0.25">
      <c r="A56" s="5">
        <v>55</v>
      </c>
      <c r="B56" s="1" t="s">
        <v>98</v>
      </c>
      <c r="C56" s="25">
        <v>12</v>
      </c>
      <c r="D56" s="26">
        <v>111</v>
      </c>
      <c r="E56" s="25">
        <v>1332</v>
      </c>
      <c r="F56" s="25">
        <v>93.24</v>
      </c>
      <c r="G56" s="27"/>
      <c r="H56" s="27"/>
      <c r="I56" s="28"/>
    </row>
    <row r="57" spans="1:9" ht="16.5" x14ac:dyDescent="0.25">
      <c r="A57" s="5">
        <v>56</v>
      </c>
      <c r="B57" s="1" t="s">
        <v>99</v>
      </c>
      <c r="C57" s="25">
        <v>15.5</v>
      </c>
      <c r="D57" s="26">
        <v>132</v>
      </c>
      <c r="E57" s="25">
        <v>2046</v>
      </c>
      <c r="F57" s="25">
        <v>143.22</v>
      </c>
      <c r="G57" s="27"/>
      <c r="H57" s="27"/>
      <c r="I57" s="28"/>
    </row>
    <row r="58" spans="1:9" ht="16.5" x14ac:dyDescent="0.25">
      <c r="A58" s="5">
        <v>57</v>
      </c>
      <c r="B58" s="1" t="s">
        <v>100</v>
      </c>
      <c r="C58" s="25">
        <v>11.75</v>
      </c>
      <c r="D58" s="26">
        <v>168</v>
      </c>
      <c r="E58" s="25">
        <v>1974</v>
      </c>
      <c r="F58" s="25">
        <v>138.18</v>
      </c>
      <c r="G58" s="27"/>
      <c r="H58" s="27"/>
      <c r="I58" s="28"/>
    </row>
    <row r="59" spans="1:9" ht="16.5" x14ac:dyDescent="0.25">
      <c r="A59" s="5">
        <v>58</v>
      </c>
      <c r="B59" s="1" t="s">
        <v>101</v>
      </c>
      <c r="C59" s="25">
        <v>12</v>
      </c>
      <c r="D59" s="26">
        <v>187</v>
      </c>
      <c r="E59" s="25">
        <v>2244</v>
      </c>
      <c r="F59" s="25">
        <v>157.08000000000001</v>
      </c>
      <c r="G59" s="27"/>
      <c r="H59" s="27"/>
      <c r="I59" s="28"/>
    </row>
    <row r="60" spans="1:9" ht="16.5" x14ac:dyDescent="0.25">
      <c r="A60" s="5">
        <v>59</v>
      </c>
      <c r="B60" s="1" t="s">
        <v>102</v>
      </c>
      <c r="C60" s="25">
        <v>19</v>
      </c>
      <c r="D60" s="26">
        <v>70</v>
      </c>
      <c r="E60" s="25">
        <v>1330</v>
      </c>
      <c r="F60" s="25">
        <v>93.1</v>
      </c>
      <c r="G60" s="27"/>
      <c r="H60" s="27"/>
      <c r="I60" s="28"/>
    </row>
    <row r="61" spans="1:9" ht="16.5" x14ac:dyDescent="0.25">
      <c r="A61" s="5">
        <v>60</v>
      </c>
      <c r="B61" s="1" t="s">
        <v>103</v>
      </c>
      <c r="C61" s="25">
        <v>17</v>
      </c>
      <c r="D61" s="26">
        <v>138</v>
      </c>
      <c r="E61" s="25">
        <v>2346</v>
      </c>
      <c r="F61" s="25">
        <v>164.22</v>
      </c>
      <c r="G61" s="27"/>
      <c r="H61" s="27"/>
      <c r="I61" s="28"/>
    </row>
    <row r="62" spans="1:9" ht="16.5" customHeight="1" x14ac:dyDescent="0.25">
      <c r="A62" s="5">
        <v>61</v>
      </c>
      <c r="B62" s="1" t="s">
        <v>104</v>
      </c>
      <c r="C62" s="25">
        <v>19</v>
      </c>
      <c r="D62" s="26">
        <v>72</v>
      </c>
      <c r="E62" s="25">
        <v>1368</v>
      </c>
      <c r="F62" s="25">
        <v>95.76</v>
      </c>
      <c r="G62" s="27"/>
      <c r="H62" s="27"/>
      <c r="I62" s="28"/>
    </row>
    <row r="63" spans="1:9" ht="16.5" x14ac:dyDescent="0.25">
      <c r="A63" s="5">
        <v>62</v>
      </c>
      <c r="B63" s="1" t="s">
        <v>105</v>
      </c>
      <c r="C63" s="25">
        <v>16</v>
      </c>
      <c r="D63" s="26">
        <v>130</v>
      </c>
      <c r="E63" s="25">
        <v>2080</v>
      </c>
      <c r="F63" s="25">
        <v>145.6</v>
      </c>
      <c r="G63" s="27"/>
      <c r="H63" s="27"/>
      <c r="I63" s="28"/>
    </row>
    <row r="64" spans="1:9" ht="16.5" x14ac:dyDescent="0.25">
      <c r="A64" s="5">
        <v>63</v>
      </c>
      <c r="B64" s="1" t="s">
        <v>106</v>
      </c>
      <c r="C64" s="25">
        <v>18</v>
      </c>
      <c r="D64" s="26">
        <v>208</v>
      </c>
      <c r="E64" s="25">
        <v>3744</v>
      </c>
      <c r="F64" s="25">
        <v>262.08</v>
      </c>
      <c r="G64" s="27"/>
      <c r="H64" s="27"/>
      <c r="I64" s="28"/>
    </row>
    <row r="65" spans="1:9" ht="16.5" x14ac:dyDescent="0.25">
      <c r="A65" s="5">
        <v>64</v>
      </c>
      <c r="B65" s="1" t="s">
        <v>107</v>
      </c>
      <c r="C65" s="25">
        <v>11</v>
      </c>
      <c r="D65" s="26">
        <v>97</v>
      </c>
      <c r="E65" s="25">
        <v>1067</v>
      </c>
      <c r="F65" s="25">
        <v>74.69</v>
      </c>
      <c r="G65" s="27"/>
      <c r="H65" s="27"/>
      <c r="I65" s="28"/>
    </row>
    <row r="66" spans="1:9" ht="16.5" x14ac:dyDescent="0.25">
      <c r="A66" s="5">
        <v>65</v>
      </c>
      <c r="B66" s="1" t="s">
        <v>108</v>
      </c>
      <c r="C66" s="25">
        <v>15.5</v>
      </c>
      <c r="D66" s="26">
        <v>199</v>
      </c>
      <c r="E66" s="25">
        <v>3084.5</v>
      </c>
      <c r="F66" s="25">
        <v>215.92</v>
      </c>
      <c r="G66" s="27"/>
      <c r="H66" s="27"/>
      <c r="I66" s="28"/>
    </row>
    <row r="67" spans="1:9" ht="16.5" x14ac:dyDescent="0.25">
      <c r="A67" s="5">
        <v>66</v>
      </c>
      <c r="B67" s="1" t="s">
        <v>109</v>
      </c>
      <c r="C67" s="25">
        <v>11</v>
      </c>
      <c r="D67" s="26">
        <v>160</v>
      </c>
      <c r="E67" s="25">
        <v>1760</v>
      </c>
      <c r="F67" s="25">
        <v>123.2</v>
      </c>
      <c r="G67" s="27"/>
      <c r="H67" s="27"/>
      <c r="I67" s="28"/>
    </row>
    <row r="68" spans="1:9" ht="16.5" x14ac:dyDescent="0.25">
      <c r="A68" s="5">
        <v>67</v>
      </c>
      <c r="B68" s="1" t="s">
        <v>110</v>
      </c>
      <c r="C68" s="25">
        <v>12</v>
      </c>
      <c r="D68" s="26">
        <v>156</v>
      </c>
      <c r="E68" s="25">
        <v>1872</v>
      </c>
      <c r="F68" s="25">
        <v>131.04</v>
      </c>
      <c r="G68" s="27"/>
      <c r="H68" s="27"/>
      <c r="I68" s="28"/>
    </row>
    <row r="69" spans="1:9" ht="16.5" x14ac:dyDescent="0.25">
      <c r="A69" s="5">
        <v>68</v>
      </c>
      <c r="B69" s="1" t="s">
        <v>111</v>
      </c>
      <c r="C69" s="25">
        <v>15.5</v>
      </c>
      <c r="D69" s="26">
        <v>117</v>
      </c>
      <c r="E69" s="25">
        <v>1813.5</v>
      </c>
      <c r="F69" s="25">
        <v>126.95</v>
      </c>
      <c r="G69" s="27"/>
      <c r="H69" s="27"/>
      <c r="I69" s="28"/>
    </row>
    <row r="70" spans="1:9" ht="16.5" x14ac:dyDescent="0.25">
      <c r="A70" s="5">
        <v>69</v>
      </c>
      <c r="B70" s="1" t="s">
        <v>112</v>
      </c>
      <c r="C70" s="25">
        <v>11</v>
      </c>
      <c r="D70" s="26">
        <v>76</v>
      </c>
      <c r="E70" s="25">
        <v>836</v>
      </c>
      <c r="F70" s="25">
        <v>58.52</v>
      </c>
      <c r="G70" s="27"/>
      <c r="H70" s="27"/>
      <c r="I70" s="28"/>
    </row>
    <row r="71" spans="1:9" ht="16.5" x14ac:dyDescent="0.25">
      <c r="A71" s="5">
        <v>70</v>
      </c>
      <c r="B71" s="1" t="s">
        <v>113</v>
      </c>
      <c r="C71" s="25">
        <v>12</v>
      </c>
      <c r="D71" s="26">
        <v>175</v>
      </c>
      <c r="E71" s="25">
        <v>2100</v>
      </c>
      <c r="F71" s="25">
        <v>147</v>
      </c>
      <c r="G71" s="27"/>
      <c r="H71" s="27"/>
      <c r="I71" s="28"/>
    </row>
    <row r="72" spans="1:9" x14ac:dyDescent="0.25">
      <c r="A72" s="29"/>
      <c r="B72" s="27"/>
      <c r="C72" s="30" t="s">
        <v>39</v>
      </c>
      <c r="D72" s="26">
        <v>9367</v>
      </c>
      <c r="E72" s="25">
        <v>142794.5</v>
      </c>
      <c r="F72" s="25">
        <v>9995.6200000000008</v>
      </c>
      <c r="G72" s="27"/>
      <c r="H72" s="27"/>
      <c r="I72" s="28"/>
    </row>
    <row r="73" spans="1:9" x14ac:dyDescent="0.25">
      <c r="A73" s="29"/>
      <c r="B73" s="27"/>
      <c r="C73" s="30" t="s">
        <v>40</v>
      </c>
      <c r="D73" s="26">
        <v>133.8142857</v>
      </c>
      <c r="E73" s="25">
        <v>2039.92</v>
      </c>
      <c r="F73" s="25">
        <v>142.79</v>
      </c>
      <c r="G73" s="27"/>
      <c r="H73" s="27"/>
      <c r="I73" s="28"/>
    </row>
    <row r="74" spans="1:9" x14ac:dyDescent="0.25">
      <c r="A74" s="29"/>
      <c r="B74" s="27"/>
      <c r="C74" s="30" t="s">
        <v>41</v>
      </c>
      <c r="D74" s="26">
        <v>208</v>
      </c>
      <c r="E74" s="25">
        <v>6368</v>
      </c>
      <c r="F74" s="25">
        <v>445.76</v>
      </c>
      <c r="G74" s="27"/>
      <c r="H74" s="27"/>
      <c r="I74" s="28"/>
    </row>
    <row r="75" spans="1:9" x14ac:dyDescent="0.25">
      <c r="A75" s="29"/>
      <c r="B75" s="27"/>
      <c r="C75" s="30" t="s">
        <v>42</v>
      </c>
      <c r="D75" s="26">
        <v>69</v>
      </c>
      <c r="E75" s="25">
        <v>836</v>
      </c>
      <c r="F75" s="25">
        <v>58.52</v>
      </c>
      <c r="G75" s="27"/>
      <c r="H75" s="27"/>
      <c r="I75" s="28"/>
    </row>
    <row r="76" spans="1:9" x14ac:dyDescent="0.25">
      <c r="A76" s="29"/>
      <c r="B76" s="27"/>
      <c r="C76" s="31" t="s">
        <v>43</v>
      </c>
      <c r="D76" s="26">
        <v>70</v>
      </c>
      <c r="E76" s="32">
        <v>70</v>
      </c>
      <c r="F76" s="32">
        <v>70</v>
      </c>
      <c r="G76" s="27"/>
      <c r="H76" s="27"/>
      <c r="I76" s="28"/>
    </row>
    <row r="77" spans="1:9" x14ac:dyDescent="0.25">
      <c r="A77" s="6"/>
      <c r="B77" s="2"/>
      <c r="C77" s="2"/>
      <c r="D77" s="2"/>
      <c r="E77" s="2"/>
      <c r="F77" s="2"/>
      <c r="G77" s="2"/>
      <c r="H77" s="2"/>
      <c r="I77" s="9"/>
    </row>
    <row r="78" spans="1:9" x14ac:dyDescent="0.25">
      <c r="A78" s="6"/>
      <c r="B78" s="2"/>
      <c r="C78" s="2"/>
      <c r="D78" s="2"/>
      <c r="E78" s="2"/>
      <c r="F78" s="2"/>
      <c r="G78" s="2"/>
      <c r="H78" s="2"/>
      <c r="I78" s="9"/>
    </row>
    <row r="79" spans="1:9" x14ac:dyDescent="0.25">
      <c r="A79" s="6"/>
      <c r="B79" s="2"/>
      <c r="C79" s="2"/>
      <c r="D79" s="2"/>
      <c r="E79" s="2"/>
      <c r="F79" s="2"/>
      <c r="G79" s="2"/>
      <c r="H79" s="2"/>
      <c r="I79" s="9"/>
    </row>
    <row r="80" spans="1:9" x14ac:dyDescent="0.25">
      <c r="A80" s="6"/>
      <c r="B80" s="2"/>
      <c r="C80" s="2"/>
      <c r="D80" s="2"/>
      <c r="E80" s="2"/>
      <c r="F80" s="2"/>
      <c r="G80" s="2"/>
      <c r="H80" s="2"/>
      <c r="I80" s="9"/>
    </row>
    <row r="81" spans="1:9" x14ac:dyDescent="0.25">
      <c r="A81" s="6"/>
      <c r="B81" s="2"/>
      <c r="C81" s="2"/>
      <c r="D81" s="2"/>
      <c r="E81" s="2"/>
      <c r="F81" s="2"/>
      <c r="G81" s="2"/>
      <c r="H81" s="2"/>
      <c r="I81" s="9"/>
    </row>
    <row r="82" spans="1:9" x14ac:dyDescent="0.25">
      <c r="A82" s="6"/>
      <c r="B82" s="2"/>
      <c r="C82" s="2"/>
      <c r="D82" s="2"/>
      <c r="E82" s="2"/>
      <c r="F82" s="2"/>
      <c r="G82" s="2"/>
      <c r="H82" s="2"/>
      <c r="I82" s="9"/>
    </row>
    <row r="83" spans="1:9" x14ac:dyDescent="0.25">
      <c r="A83" s="6"/>
      <c r="B83" s="2"/>
      <c r="C83" s="2"/>
      <c r="D83" s="2"/>
      <c r="E83" s="2"/>
      <c r="F83" s="2"/>
      <c r="G83" s="2"/>
      <c r="H83" s="2"/>
      <c r="I83" s="9"/>
    </row>
    <row r="84" spans="1:9" x14ac:dyDescent="0.25">
      <c r="A84" s="6"/>
      <c r="B84" s="2"/>
      <c r="C84" s="2"/>
      <c r="D84" s="2"/>
      <c r="E84" s="2"/>
      <c r="F84" s="2"/>
      <c r="G84" s="2"/>
      <c r="H84" s="2"/>
      <c r="I84" s="9"/>
    </row>
    <row r="85" spans="1:9" x14ac:dyDescent="0.25">
      <c r="A85" s="6"/>
      <c r="B85" s="2"/>
      <c r="C85" s="2"/>
      <c r="D85" s="2"/>
      <c r="E85" s="2"/>
      <c r="F85" s="2"/>
      <c r="G85" s="2"/>
      <c r="H85" s="2"/>
      <c r="I85" s="9"/>
    </row>
    <row r="86" spans="1:9" x14ac:dyDescent="0.25">
      <c r="A86" s="6"/>
      <c r="B86" s="2"/>
      <c r="C86" s="2"/>
      <c r="D86" s="2"/>
      <c r="E86" s="2"/>
      <c r="F86" s="2"/>
      <c r="G86" s="2"/>
      <c r="H86" s="2"/>
      <c r="I86" s="9"/>
    </row>
    <row r="87" spans="1:9" x14ac:dyDescent="0.25">
      <c r="A87" s="6"/>
      <c r="B87" s="2"/>
      <c r="C87" s="2"/>
      <c r="D87" s="2"/>
      <c r="E87" s="2"/>
      <c r="F87" s="2"/>
      <c r="G87" s="2"/>
      <c r="H87" s="2"/>
      <c r="I87" s="9"/>
    </row>
    <row r="88" spans="1:9" x14ac:dyDescent="0.25">
      <c r="A88" s="6"/>
      <c r="B88" s="2"/>
      <c r="C88" s="2"/>
      <c r="D88" s="2"/>
      <c r="E88" s="2"/>
      <c r="F88" s="2"/>
      <c r="G88" s="2"/>
      <c r="H88" s="2"/>
      <c r="I88" s="9"/>
    </row>
    <row r="89" spans="1:9" x14ac:dyDescent="0.25">
      <c r="A89" s="6"/>
      <c r="B89" s="2"/>
      <c r="C89" s="2"/>
      <c r="D89" s="2"/>
      <c r="E89" s="2"/>
      <c r="F89" s="2"/>
      <c r="G89" s="2"/>
      <c r="H89" s="2"/>
      <c r="I89" s="9"/>
    </row>
    <row r="90" spans="1:9" x14ac:dyDescent="0.25">
      <c r="A90" s="6"/>
      <c r="B90" s="2"/>
      <c r="C90" s="2"/>
      <c r="D90" s="2"/>
      <c r="E90" s="2"/>
      <c r="F90" s="2"/>
      <c r="G90" s="2"/>
      <c r="H90" s="2"/>
      <c r="I90" s="9"/>
    </row>
    <row r="91" spans="1:9" x14ac:dyDescent="0.25">
      <c r="A91" s="6"/>
      <c r="B91" s="2"/>
      <c r="C91" s="2"/>
      <c r="D91" s="2"/>
      <c r="E91" s="2"/>
      <c r="F91" s="2"/>
      <c r="G91" s="2"/>
      <c r="H91" s="2"/>
      <c r="I91" s="9"/>
    </row>
    <row r="92" spans="1:9" x14ac:dyDescent="0.25">
      <c r="A92" s="17"/>
      <c r="B92" s="15"/>
      <c r="C92" s="15"/>
      <c r="D92" s="15"/>
      <c r="E92" s="15"/>
      <c r="F92" s="15"/>
      <c r="G92" s="15"/>
      <c r="H92" s="15"/>
      <c r="I92" s="16"/>
    </row>
  </sheetData>
  <pageMargins left="0.56999999999999995" right="0.39" top="0.75" bottom="0.75" header="0.3" footer="0.3"/>
  <pageSetup paperSize="9" scale="75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ASSIGNMENT 1</vt:lpstr>
      <vt:lpstr>ASSIGNMENT 2</vt:lpstr>
      <vt:lpstr>'ASSIGNMENT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Isaac Ogbaji</cp:lastModifiedBy>
  <cp:lastPrinted>2026-02-19T14:46:17Z</cp:lastPrinted>
  <dcterms:created xsi:type="dcterms:W3CDTF">2022-07-03T02:12:21Z</dcterms:created>
  <dcterms:modified xsi:type="dcterms:W3CDTF">2026-02-19T14:47:47Z</dcterms:modified>
</cp:coreProperties>
</file>